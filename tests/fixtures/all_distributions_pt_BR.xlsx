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fc4ebf44a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fc69561ae088472e"/>
    <x:sheet xmlns:r="http://schemas.openxmlformats.org/officeDocument/2006/relationships" name="Projeto" sheetId="2" r:id="R85a8ef39e3154ae0"/>
    <x:sheet xmlns:r="http://schemas.openxmlformats.org/officeDocument/2006/relationships" name="Atividades" sheetId="3" r:id="R29b343e418b64d48"/>
    <x:sheet xmlns:r="http://schemas.openxmlformats.org/officeDocument/2006/relationships" name="Registro_de_Riscos" sheetId="4" r:id="Re4ba5d7369584c6c"/>
    <x:sheet xmlns:r="http://schemas.openxmlformats.org/officeDocument/2006/relationships" name="Mapa_Risco_Atividade" sheetId="5" r:id="R0dc2ccf4fef34c96"/>
    <x:sheet xmlns:r="http://schemas.openxmlformats.org/officeDocument/2006/relationships" name="Relacoes_entre_Riscos" sheetId="6" r:id="R1f4399ab093743d9"/>
    <x:sheet xmlns:r="http://schemas.openxmlformats.org/officeDocument/2006/relationships" name="Especificacao_de_Validacao" sheetId="7" r:id="R45d1a76d991d4fcc"/>
    <x:sheet xmlns:r="http://schemas.openxmlformats.org/officeDocument/2006/relationships" name="Especificacao_Retrato_de_Riscos" sheetId="8" r:id="R0849c54857d9436d"/>
    <x:sheet xmlns:r="http://schemas.openxmlformats.org/officeDocument/2006/relationships" name="Resumo_do_Caso" sheetId="9" r:id="R6a9326dbf3d84e2a"/>
    <x:sheet xmlns:r="http://schemas.openxmlformats.org/officeDocument/2006/relationships" name="Categorias_dos_Riscos" sheetId="10" r:id="R540f7aab0a944a46"/>
    <x:sheet xmlns:r="http://schemas.openxmlformats.org/officeDocument/2006/relationships" name="Tratamentos_dos_Riscos" sheetId="11" r:id="Rb4e2e84e0d4e493f"/>
    <x:sheet xmlns:r="http://schemas.openxmlformats.org/officeDocument/2006/relationships" name="Premissas_do_Caso" sheetId="12" r:id="R430c2552707c4284"/>
  </x:sheets>
  <x:definedNames>
    <x:definedName name="RiskCategoryOptions">Categorias_dos_Riscos!$A$3:$A$20</x:definedName>
  </x:definedNames>
  <x:calcPr calcMode="auto" fullCalcOnLoad="1" forceFullCalc="1"/>
</x:workbook>
</file>

<file path=xl/sharedStrings.xml><?xml version="1.0" encoding="utf-8"?>
<x:sst xmlns:x="http://schemas.openxmlformats.org/spreadsheetml/2006/main">
  <x:si>
    <x:t xml:space="preserve">P01</x:t>
  </x:si>
  <x:si>
    <x:t xml:space="preserve">120</x:t>
  </x:si>
  <x:si>
    <x:t xml:space="preserve">500000</x:t>
  </x:si>
  <x:si>
    <x:t xml:space="preserve">5000</x:t>
  </x:si>
  <x:si>
    <x:t xml:space="preserve">42</x:t>
  </x:si>
  <x:si>
    <x:t xml:space="preserve">BRL</x:t>
  </x:si>
  <x:si>
    <x:t xml:space="preserve">A01</x:t>
  </x:si>
  <x:si>
    <x:t xml:space="preserve">A02</x:t>
  </x:si>
  <x:si>
    <x:t xml:space="preserve">A03</x:t>
  </x:si>
  <x:si>
    <x:t xml:space="preserve">A04</x:t>
  </x:si>
  <x:si>
    <x:t xml:space="preserve">A05</x:t>
  </x:si>
  <x:si>
    <x:t xml:space="preserve">A06</x:t>
  </x:si>
  <x:si>
    <x:t xml:space="preserve">A07</x:t>
  </x:si>
  <x:si>
    <x:t xml:space="preserve">A08</x:t>
  </x:si>
  <x:si>
    <x:t xml:space="preserve">A09</x:t>
  </x:si>
  <x:si>
    <x:t xml:space="preserve">A10</x:t>
  </x:si>
  <x:si>
    <x:t xml:space="preserve">Triangular</x:t>
  </x:si>
  <x:si>
    <x:t xml:space="preserve">A11</x:t>
  </x:si>
  <x:si>
    <x:t xml:space="preserve">Beta-PERT</x:t>
  </x:si>
  <x:si>
    <x:t xml:space="preserve">A12</x:t>
  </x:si>
  <x:si>
    <x:t xml:space="preserve">A10,A11</x:t>
  </x:si>
  <x:si>
    <x:t xml:space="preserve">Normal</x:t>
  </x:si>
  <x:si>
    <x:t xml:space="preserve">A13</x:t>
  </x:si>
  <x:si>
    <x:t xml:space="preserve">A14</x:t>
  </x:si>
  <x:si>
    <x:t xml:space="preserve">A15</x:t>
  </x:si>
  <x:si>
    <x:t xml:space="preserve">A09,A10</x:t>
  </x:si>
  <x:si>
    <x:t xml:space="preserve">A16</x:t>
  </x:si>
  <x:si>
    <x:t xml:space="preserve">A09,A13</x:t>
  </x:si>
  <x:si>
    <x:t xml:space="preserve">A17</x:t>
  </x:si>
  <x:si>
    <x:t xml:space="preserve">A12,A13,A14</x:t>
  </x:si>
  <x:si>
    <x:t xml:space="preserve">A18</x:t>
  </x:si>
  <x:si>
    <x:t xml:space="preserve">A19</x:t>
  </x:si>
  <x:si>
    <x:t xml:space="preserve">A16,A17</x:t>
  </x:si>
  <x:si>
    <x:t xml:space="preserve">A20</x:t>
  </x:si>
  <x:si>
    <x:t xml:space="preserve">A21</x:t>
  </x:si>
  <x:si>
    <x:t xml:space="preserve">A18,A19,A20</x:t>
  </x:si>
  <x:si>
    <x:t xml:space="preserve">A22</x:t>
  </x:si>
  <x:si>
    <x:t xml:space="preserve">A19,A20</x:t>
  </x:si>
  <x:si>
    <x:t xml:space="preserve">A23</x:t>
  </x:si>
  <x:si>
    <x:t xml:space="preserve">A24</x:t>
  </x:si>
  <x:si>
    <x:t xml:space="preserve">A19,A21</x:t>
  </x:si>
  <x:si>
    <x:t xml:space="preserve">A25</x:t>
  </x:si>
  <x:si>
    <x:t xml:space="preserve">A26</x:t>
  </x:si>
  <x:si>
    <x:t xml:space="preserve">A27</x:t>
  </x:si>
  <x:si>
    <x:t xml:space="preserve">A22,A23,A24</x:t>
  </x:si>
  <x:si>
    <x:t xml:space="preserve">A28</x:t>
  </x:si>
  <x:si>
    <x:t xml:space="preserve">A21,A24,A27</x:t>
  </x:si>
  <x:si>
    <x:t xml:space="preserve">A29</x:t>
  </x:si>
  <x:si>
    <x:t xml:space="preserve">A26,A28</x:t>
  </x:si>
  <x:si>
    <x:t xml:space="preserve">A30</x:t>
  </x:si>
  <x:si>
    <x:t xml:space="preserve">R01</x:t>
  </x:si>
  <x:si>
    <x:t xml:space="preserve">Local</x:t>
  </x:si>
  <x:si>
    <x:t xml:space="preserve">R02</x:t>
  </x:si>
  <x:si>
    <x:t xml:space="preserve">R03</x:t>
  </x:si>
  <x:si>
    <x:t xml:space="preserve">R04</x:t>
  </x:si>
  <x:si>
    <x:t xml:space="preserve">R05</x:t>
  </x:si>
  <x:si>
    <x:t xml:space="preserve">R06</x:t>
  </x:si>
  <x:si>
    <x:t xml:space="preserve">R07</x:t>
  </x:si>
  <x:si>
    <x:t xml:space="preserve">R08</x:t>
  </x:si>
  <x:si>
    <x:t xml:space="preserve">R09</x:t>
  </x:si>
  <x:si>
    <x:t xml:space="preserve">Global</x:t>
  </x:si>
  <x:si>
    <x:t xml:space="preserve">R10</x:t>
  </x:si>
  <x:si>
    <x:t xml:space="preserve">R11</x:t>
  </x:si>
  <x:si>
    <x:t xml:space="preserve">R12</x:t>
  </x:si>
  <x:si>
    <x:t xml:space="preserve">R13</x:t>
  </x:si>
  <x:si>
    <x:t xml:space="preserve">R14</x:t>
  </x:si>
  <x:si>
    <x:t xml:space="preserve">R15</x:t>
  </x:si>
  <x:si>
    <x:t xml:space="preserve">R16</x:t>
  </x:si>
  <x:si>
    <x:t xml:space="preserve">R17</x:t>
  </x:si>
  <x:si>
    <x:t xml:space="preserve">R18</x:t>
  </x:si>
  <x:si>
    <x:t xml:space="preserve">R19</x:t>
  </x:si>
  <x:si>
    <x:t xml:space="preserve">R20</x:t>
  </x:si>
  <x:si>
    <x:t xml:space="preserve">R21</x:t>
  </x:si>
  <x:si>
    <x:t xml:space="preserve">R22</x:t>
  </x:si>
  <x:si>
    <x:t xml:space="preserve">R23</x:t>
  </x:si>
  <x:si>
    <x:t xml:space="preserve">R24</x:t>
  </x:si>
  <x:si>
    <x:t xml:space="preserve">ΔP50</x:t>
  </x:si>
  <x:si>
    <x:t xml:space="preserve">ΔP90</x:t>
  </x:si>
  <x:si>
    <x:t xml:space="preserve">S0</x:t>
  </x:si>
  <x:si>
    <x:t xml:space="preserve">S1</x:t>
  </x:si>
  <x:si>
    <x:t xml:space="preserve">R1</x:t>
  </x:si>
  <x:si>
    <x:t xml:space="preserve">S2</x:t>
  </x:si>
  <x:si>
    <x:t xml:space="preserve">R1 + R2</x:t>
  </x:si>
  <x:si>
    <x:t xml:space="preserve">S3</x:t>
  </x:si>
  <x:si>
    <x:t xml:space="preserve">R1 + R2 + R3</x:t>
  </x:si>
  <x:si>
    <x:t xml:space="preserve">S5</x:t>
  </x:si>
  <x:si>
    <x:t xml:space="preserve">ST</x:t>
  </x:si>
  <x:si>
    <x:t xml:space="preserve">Local / Global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</x:si>
</x:sst>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165" formatCode="0.0%"/>
  </x:numFmts>
  <x:fonts count="10">
    <x:font>
      <x:sz val="11"/>
      <x:name val="Carlito"/>
    </x:font>
    <x:font>
      <x:b/>
      <x:sz val="14"/>
      <x:name val="Times New Roman"/>
      <x:family val="1"/>
    </x:font>
    <x:font>
      <x:sz val="11"/>
      <x:name val="Times New Roman"/>
      <x:family val="1"/>
    </x:font>
    <x:font>
      <x:b/>
      <x:sz val="11"/>
      <x:name val="Times New Roman"/>
      <x:family val="1"/>
    </x:font>
    <x:font>
      <x:b/>
      <x:sz val="11"/>
      <x:color rgb="FF17365D"/>
      <x:name val="Times New Roman"/>
      <x:family val="1"/>
    </x:font>
    <x:font>
      <x:b/>
      <x:sz val="11"/>
      <x:color rgb="FFFFFFFF"/>
      <x:name val="Times New Roman"/>
      <x:family val="1"/>
    </x:font>
    <x:font>
      <x:i/>
      <x:sz val="11"/>
      <x:color rgb="FF7F6000"/>
      <x:name val="Times New Roman"/>
      <x:family val="1"/>
    </x:font>
    <x:font>
      <x:b/>
      <x:sz val="10"/>
      <x:color rgb="FFFFFFFF"/>
      <x:name val="Times New Roman"/>
      <x:family val="1"/>
    </x:font>
    <x:font>
      <x:sz val="10"/>
      <x:color rgb="FF000000"/>
      <x:name val="Times New Roman"/>
      <x:family val="1"/>
    </x:font>
    <x:font>
      <x:sz val="11"/>
      <x:color rgb="FF000000"/>
      <x:name val="Times New Roman"/>
      <x:family val="1"/>
    </x:font>
  </x:fonts>
  <x:fills count="13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theme="0"/>
      </x:patternFill>
    </x:fill>
    <x:fill>
      <x:patternFill patternType="solid">
        <x:fgColor rgb="FF254B63"/>
      </x:patternFill>
    </x:fill>
    <x:fill>
      <x:patternFill patternType="solid">
        <x:fgColor rgb="FFEDF3F5"/>
      </x:patternFill>
    </x:fill>
    <x:fill>
      <x:patternFill patternType="solid">
        <x:fgColor rgb="FFE2EFDA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D9D9D9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155">
    <x:xf numFmtId="0" fontId="0" fillId="0" borderId="0" xfId="0"/>
    <x:xf numFmtId="0" fontId="2" fillId="7" borderId="0" xfId="0" applyFont="1" applyFill="1"/>
    <x:xf numFmtId="0" fontId="2" fillId="0" borderId="0" xfId="0" applyFont="1"/>
    <x:xf numFmtId="0" fontId="2" fillId="0" borderId="1" xfId="0" applyFont="1" applyBorder="1" applyAlignment="1">
      <x:alignment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wrapText="1"/>
    </x:xf>
    <x:xf numFmtId="0" fontId="2" fillId="3" borderId="1" xfId="0" applyFont="1" applyFill="1" applyBorder="1" applyAlignment="1">
      <x:alignment wrapText="1"/>
    </x:xf>
    <x:xf numFmtId="0" fontId="9" fillId="9" borderId="2" xfId="0" applyFont="1" applyFill="1" applyBorder="1" applyAlignment="1">
      <x:alignment vertical="center" wrapText="1"/>
    </x:xf>
    <x:xf numFmtId="0" fontId="2" fillId="0" borderId="1" xfId="0" applyFont="1" applyBorder="1"/>
    <x:xf numFmtId="0" fontId="2" fillId="0" borderId="0" xfId="0" applyFont="1" applyAlignment="1">
      <x:alignment horizontal="center"/>
    </x:xf>
    <x:xf numFmtId="0" fontId="3" fillId="7" borderId="1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/>
    </x:xf>
    <x:xf numFmtId="0" fontId="2" fillId="0" borderId="0" xfId="0" applyFont="1" applyAlignment="1">
      <x:alignment horizontal="left"/>
    </x:xf>
    <x:xf numFmtId="0" fontId="2" fillId="0" borderId="1" xfId="0" applyFont="1" applyBorder="1" applyAlignment="1">
      <x:alignment horizontal="center" wrapText="1"/>
    </x:xf>
    <x:xf numFmtId="0" fontId="2" fillId="7" borderId="1" xfId="0" applyFont="1" applyFill="1" applyBorder="1"/>
    <x:xf numFmtId="0" fontId="5" fillId="6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vertical="center" wrapText="1"/>
    </x:xf>
    <x:xf numFmtId="0" fontId="2" fillId="4" borderId="1" xfId="0" applyFont="1" applyFill="1" applyBorder="1" applyAlignment="1">
      <x:alignment wrapText="1"/>
    </x:xf>
    <x:xf numFmtId="0" fontId="2" fillId="7" borderId="1" xfId="0" applyFont="1" applyFill="1" applyBorder="1" applyAlignment="1">
      <x:alignment wrapText="1"/>
    </x:xf>
    <x:xf numFmtId="0" fontId="2" fillId="3" borderId="1" xfId="0" applyFont="1" applyFill="1" applyBorder="1" applyAlignment="1">
      <x:alignment horizontal="center" wrapText="1"/>
    </x:xf>
    <x:xf numFmtId="0" fontId="2" fillId="7" borderId="1" xfId="0" applyFont="1" applyFill="1" applyBorder="1" applyAlignment="1">
      <x:alignment horizontal="center" wrapText="1"/>
    </x:xf>
    <x:xf numFmtId="0" fontId="2" fillId="4" borderId="1" xfId="0" applyFont="1" applyFill="1" applyBorder="1" applyAlignment="1">
      <x:alignment horizontal="center" wrapText="1"/>
    </x:xf>
    <x:xf numFmtId="4" fontId="2" fillId="12" borderId="1" xfId="0" applyNumberFormat="1" applyFont="1" applyFill="1" applyBorder="1" applyAlignment="1">
      <x:alignment horizontal="center" wrapText="1"/>
    </x:xf>
    <x:xf numFmtId="4" fontId="2" fillId="4" borderId="1" xfId="0" applyNumberFormat="1" applyFont="1" applyFill="1" applyBorder="1" applyAlignment="1">
      <x:alignment horizontal="center" wrapText="1"/>
    </x:xf>
    <x:xf numFmtId="4" fontId="2" fillId="7" borderId="1" xfId="0" applyNumberFormat="1" applyFont="1" applyFill="1" applyBorder="1" applyAlignment="1">
      <x:alignment horizontal="center" wrapText="1"/>
    </x:xf>
    <x:xf numFmtId="0" fontId="2" fillId="7" borderId="1" xfId="0" applyFont="1" applyFill="1" applyBorder="1" applyAlignment="1">
      <x:alignment horizontal="center"/>
    </x:xf>
    <x:xf numFmtId="4" fontId="2" fillId="12" borderId="1" xfId="0" applyNumberFormat="1" applyFont="1" applyFill="1" applyBorder="1" applyAlignment="1">
      <x:alignment horizontal="center" vertical="center" wrapText="1"/>
    </x:xf>
    <x:xf numFmtId="4" fontId="2" fillId="10" borderId="1" xfId="0" applyNumberFormat="1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vertical="center" wrapText="1"/>
    </x:xf>
    <x:xf numFmtId="0" fontId="2" fillId="10" borderId="1" xfId="0" applyFont="1" applyFill="1" applyBorder="1" applyAlignment="1">
      <x:alignment vertical="center" wrapText="1"/>
    </x:xf>
    <x:xf numFmtId="49" fontId="2" fillId="10" borderId="1" xfId="0" applyNumberFormat="1" applyFont="1" applyFill="1" applyBorder="1" applyAlignment="1">
      <x:alignment vertical="center" wrapText="1"/>
    </x:xf>
    <x:xf numFmtId="164" fontId="2" fillId="10" borderId="1" xfId="0" applyNumberFormat="1" applyFont="1" applyFill="1" applyBorder="1" applyAlignment="1">
      <x:alignment vertical="center" wrapText="1"/>
    </x:xf>
    <x:xf numFmtId="0" fontId="2" fillId="10" borderId="1" xfId="0" applyFont="1" applyFill="1" applyBorder="1" applyAlignment="1">
      <x:alignment horizontal="center" vertical="center" wrapText="1"/>
    </x:xf>
    <x:xf numFmtId="165" fontId="2" fillId="10" borderId="1" xfId="0" applyNumberFormat="1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center" vertical="center" wrapText="1"/>
    </x:xf>
    <x:xf numFmtId="9" fontId="2" fillId="3" borderId="1" xfId="0" applyNumberFormat="1" applyFont="1" applyFill="1" applyBorder="1" applyAlignment="1">
      <x:alignment horizontal="center" wrapText="1"/>
    </x:xf>
    <x:xf numFmtId="9" fontId="2" fillId="7" borderId="1" xfId="0" applyNumberFormat="1" applyFont="1" applyFill="1" applyBorder="1" applyAlignment="1">
      <x:alignment horizontal="center" wrapText="1"/>
    </x:xf>
    <x:xf numFmtId="0" fontId="2" fillId="4" borderId="1" xfId="0" applyFont="1" applyFill="1" applyBorder="1"/>
    <x:xf numFmtId="0" fontId="2" fillId="4" borderId="1" xfId="0" applyFont="1" applyFill="1" applyBorder="1" applyAlignment="1">
      <x:alignment horizontal="center"/>
    </x:xf>
    <x:xf numFmtId="0" fontId="7" fillId="8" borderId="1" xfId="0" applyFont="1" applyFill="1" applyBorder="1" applyAlignment="1">
      <x:alignment vertical="center" wrapText="1"/>
    </x:xf>
    <x:xf numFmtId="0" fontId="8" fillId="9" borderId="1" xfId="0" applyFont="1" applyFill="1" applyBorder="1" applyAlignment="1">
      <x:alignment vertical="center" wrapText="1"/>
    </x:xf>
    <x:xf numFmtId="0" fontId="5" fillId="8" borderId="1" xfId="0" applyFont="1" applyFill="1" applyBorder="1" applyAlignment="1">
      <x:alignment vertical="center" wrapText="1"/>
    </x:xf>
    <x:xf numFmtId="0" fontId="9" fillId="9" borderId="1" xfId="0" applyFont="1" applyFill="1" applyBorder="1" applyAlignment="1">
      <x:alignment vertical="center" wrapText="1"/>
    </x:xf>
    <x:xf numFmtId="0" fontId="5" fillId="8" borderId="1" xfId="0" applyFont="1" applyFill="1" applyBorder="1" applyAlignment="1">
      <x:alignment horizontal="center" vertical="center" wrapText="1"/>
    </x:xf>
    <x:xf numFmtId="0" fontId="9" fillId="9" borderId="1" xfId="0" applyFont="1" applyFill="1" applyBorder="1" applyAlignment="1">
      <x:alignment horizontal="center" vertical="center" wrapText="1"/>
    </x:xf>
    <x:xf numFmtId="0" fontId="9" fillId="9" borderId="2" xfId="0" applyFont="1" applyFill="1" applyBorder="1" applyAlignment="1">
      <x:alignment horizontal="center" vertical="center" wrapText="1"/>
    </x:xf>
    <x:xf numFmtId="165" fontId="9" fillId="9" borderId="1" xfId="0" applyNumberFormat="1" applyFont="1" applyFill="1" applyBorder="1" applyAlignment="1">
      <x:alignment horizontal="center" vertical="center" wrapText="1"/>
    </x:xf>
    <x:xf numFmtId="165" fontId="9" fillId="9" borderId="2" xfId="0" applyNumberFormat="1" applyFont="1" applyFill="1" applyBorder="1" applyAlignment="1">
      <x:alignment horizontal="center" vertical="center" wrapText="1"/>
    </x:xf>
    <x:xf numFmtId="0" fontId="9" fillId="11" borderId="1" xfId="0" applyFont="1" applyFill="1" applyBorder="1" applyAlignment="1">
      <x:alignment vertical="center" wrapText="1"/>
    </x:xf>
    <x:xf numFmtId="4" fontId="9" fillId="12" borderId="1" xfId="0" applyNumberFormat="1" applyFont="1" applyFill="1" applyBorder="1" applyAlignment="1">
      <x:alignment horizontal="center" vertical="center" wrapText="1"/>
    </x:xf>
    <x:xf numFmtId="9" fontId="9" fillId="10" borderId="1" xfId="0" applyNumberFormat="1" applyFont="1" applyFill="1" applyBorder="1" applyAlignment="1">
      <x:alignment horizontal="center" vertical="center" wrapText="1"/>
    </x:xf>
    <x:xf numFmtId="4" fontId="9" fillId="10" borderId="1" xfId="0" applyNumberFormat="1" applyFont="1" applyFill="1" applyBorder="1" applyAlignment="1">
      <x:alignment horizontal="center" vertical="center" wrapText="1"/>
    </x:xf>
    <x:xf numFmtId="0" fontId="9" fillId="11" borderId="1" xfId="0" applyFont="1" applyFill="1" applyBorder="1" applyAlignment="1">
      <x:alignment horizontal="center" vertical="center" wrapText="1"/>
    </x:xf>
    <x:xf numFmtId="0" fontId="1" fillId="7" borderId="1" xfId="0" applyFont="1" applyFill="1" applyBorder="1" applyAlignment="1">
      <x:alignment horizontal="left" vertical="center"/>
    </x:xf>
    <x:xf numFmtId="0" fontId="2" fillId="7" borderId="1" xfId="0" applyFont="1" applyFill="1" applyBorder="1"/>
    <x:xf numFmtId="0" fontId="1" fillId="7" borderId="0" xfId="0" applyFont="1" applyFill="1" applyAlignment="1">
      <x:alignment horizontal="left" vertical="center"/>
    </x:xf>
    <x:xf numFmtId="0" fontId="2" fillId="7" borderId="0" xfId="0" applyFont="1" applyFill="1"/>
    <x:xf numFmtId="0" fontId="6" fillId="5" borderId="1" xfId="0" applyFont="1" applyFill="1" applyBorder="1" applyAlignment="1">
      <x:alignment wrapText="1"/>
    </x:xf>
    <x:xf numFmtId="0" fontId="2" fillId="0" borderId="1" xfId="0" applyFont="1" applyBorder="1"/>
    <x:xf numFmtId="0" fontId="1" fillId="7" borderId="1" xfId="0" applyFont="1" applyFill="1" applyBorder="1" applyAlignment="1">
      <x:alignment horizontal="center" vertical="center"/>
    </x:xf>
    <x:xf numFmtId="0" fontId="1" fillId="0" borderId="3" xfId="0" applyFont="1" applyBorder="1" applyAlignment="1">
      <x:alignment horizontal="center"/>
    </x:xf>
    <x:xf numFmtId="0" fontId="1" fillId="0" borderId="5" xfId="0" applyFont="1" applyBorder="1" applyAlignment="1">
      <x:alignment horizontal="center"/>
    </x:xf>
    <x:xf numFmtId="0" fontId="1" fillId="0" borderId="4" xfId="0" applyFont="1" applyBorder="1" applyAlignment="1">
      <x:alignment horizontal="center"/>
    </x:xf>
    <x:xf numFmtId="0" fontId="0" fillId="0" borderId="0" xfId="0" applyAlignment="1">
      <x:alignment wrapText="1"/>
    </x:xf>
    <x:xf numFmtId="0" fontId="2" fillId="7" borderId="0" xfId="0" applyFont="1" applyFill="1" applyAlignment="1">
      <x:alignment wrapText="1"/>
    </x:xf>
    <x:xf numFmtId="0" fontId="2" fillId="0" borderId="0" xfId="0" applyFont="1" applyAlignment="1">
      <x:alignment wrapText="1"/>
    </x:xf>
    <x:xf numFmtId="0" fontId="2" fillId="0" borderId="1" xfId="0" applyFont="1" applyBorder="1" applyAlignment="1">
      <x:alignment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wrapText="1"/>
    </x:xf>
    <x:xf numFmtId="0" fontId="2" fillId="3" borderId="1" xfId="0" applyFont="1" applyFill="1" applyBorder="1" applyAlignment="1">
      <x:alignment wrapText="1"/>
    </x:xf>
    <x:xf numFmtId="0" fontId="9" fillId="9" borderId="2" xfId="0" applyFont="1" applyFill="1" applyBorder="1" applyAlignment="1">
      <x:alignment vertical="center" wrapText="1"/>
    </x:xf>
    <x:xf numFmtId="0" fontId="2" fillId="0" borderId="1" xfId="0" applyFont="1" applyBorder="1" applyAlignment="1">
      <x:alignment wrapText="1"/>
    </x:xf>
    <x:xf numFmtId="0" fontId="2" fillId="0" borderId="0" xfId="0" applyFont="1" applyAlignment="1">
      <x:alignment horizontal="center" wrapText="1"/>
    </x:xf>
    <x:xf numFmtId="0" fontId="3" fillId="7" borderId="1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wrapText="1"/>
    </x:xf>
    <x:xf numFmtId="0" fontId="2" fillId="0" borderId="0" xfId="0" applyFont="1" applyAlignment="1">
      <x:alignment horizontal="left" wrapText="1"/>
    </x:xf>
    <x:xf numFmtId="0" fontId="2" fillId="0" borderId="1" xfId="0" applyFont="1" applyBorder="1" applyAlignment="1">
      <x:alignment horizontal="center" wrapText="1"/>
    </x:xf>
    <x:xf numFmtId="0" fontId="2" fillId="7" borderId="1" xfId="0" applyFont="1" applyFill="1" applyBorder="1" applyAlignment="1">
      <x:alignment wrapText="1"/>
    </x:xf>
    <x:xf numFmtId="0" fontId="5" fillId="6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vertical="center" wrapText="1"/>
    </x:xf>
    <x:xf numFmtId="0" fontId="2" fillId="4" borderId="1" xfId="0" applyFont="1" applyFill="1" applyBorder="1" applyAlignment="1">
      <x:alignment wrapText="1"/>
    </x:xf>
    <x:xf numFmtId="0" fontId="2" fillId="7" borderId="1" xfId="0" applyFont="1" applyFill="1" applyBorder="1" applyAlignment="1">
      <x:alignment wrapText="1"/>
    </x:xf>
    <x:xf numFmtId="0" fontId="2" fillId="3" borderId="1" xfId="0" applyFont="1" applyFill="1" applyBorder="1" applyAlignment="1">
      <x:alignment horizontal="center" wrapText="1"/>
    </x:xf>
    <x:xf numFmtId="0" fontId="2" fillId="7" borderId="1" xfId="0" applyFont="1" applyFill="1" applyBorder="1" applyAlignment="1">
      <x:alignment horizontal="center" wrapText="1"/>
    </x:xf>
    <x:xf numFmtId="0" fontId="2" fillId="4" borderId="1" xfId="0" applyFont="1" applyFill="1" applyBorder="1" applyAlignment="1">
      <x:alignment horizontal="center" wrapText="1"/>
    </x:xf>
    <x:xf numFmtId="4" fontId="2" fillId="12" borderId="1" xfId="0" applyNumberFormat="1" applyFont="1" applyFill="1" applyBorder="1" applyAlignment="1">
      <x:alignment horizontal="center" wrapText="1"/>
    </x:xf>
    <x:xf numFmtId="4" fontId="2" fillId="4" borderId="1" xfId="0" applyNumberFormat="1" applyFont="1" applyFill="1" applyBorder="1" applyAlignment="1">
      <x:alignment horizontal="center" wrapText="1"/>
    </x:xf>
    <x:xf numFmtId="4" fontId="2" fillId="7" borderId="1" xfId="0" applyNumberFormat="1" applyFont="1" applyFill="1" applyBorder="1" applyAlignment="1">
      <x:alignment horizontal="center" wrapText="1"/>
    </x:xf>
    <x:xf numFmtId="0" fontId="2" fillId="7" borderId="1" xfId="0" applyFont="1" applyFill="1" applyBorder="1" applyAlignment="1">
      <x:alignment horizontal="center" wrapText="1"/>
    </x:xf>
    <x:xf numFmtId="4" fontId="2" fillId="12" borderId="1" xfId="0" applyNumberFormat="1" applyFont="1" applyFill="1" applyBorder="1" applyAlignment="1">
      <x:alignment horizontal="center" vertical="center" wrapText="1"/>
    </x:xf>
    <x:xf numFmtId="4" fontId="2" fillId="10" borderId="1" xfId="0" applyNumberFormat="1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vertical="center" wrapText="1"/>
    </x:xf>
    <x:xf numFmtId="0" fontId="2" fillId="10" borderId="1" xfId="0" applyFont="1" applyFill="1" applyBorder="1" applyAlignment="1">
      <x:alignment vertical="center" wrapText="1"/>
    </x:xf>
    <x:xf numFmtId="49" fontId="2" fillId="10" borderId="1" xfId="0" applyNumberFormat="1" applyFont="1" applyFill="1" applyBorder="1" applyAlignment="1">
      <x:alignment vertical="center" wrapText="1"/>
    </x:xf>
    <x:xf numFmtId="164" fontId="2" fillId="10" borderId="1" xfId="0" applyNumberFormat="1" applyFont="1" applyFill="1" applyBorder="1" applyAlignment="1">
      <x:alignment vertical="center" wrapText="1"/>
    </x:xf>
    <x:xf numFmtId="0" fontId="2" fillId="10" borderId="1" xfId="0" applyFont="1" applyFill="1" applyBorder="1" applyAlignment="1">
      <x:alignment horizontal="center" vertical="center" wrapText="1"/>
    </x:xf>
    <x:xf numFmtId="165" fontId="2" fillId="10" borderId="1" xfId="0" applyNumberFormat="1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center" vertical="center" wrapText="1"/>
    </x:xf>
    <x:xf numFmtId="9" fontId="2" fillId="3" borderId="1" xfId="0" applyNumberFormat="1" applyFont="1" applyFill="1" applyBorder="1" applyAlignment="1">
      <x:alignment horizontal="center" wrapText="1"/>
    </x:xf>
    <x:xf numFmtId="9" fontId="2" fillId="7" borderId="1" xfId="0" applyNumberFormat="1" applyFont="1" applyFill="1" applyBorder="1" applyAlignment="1">
      <x:alignment horizontal="center" wrapText="1"/>
    </x:xf>
    <x:xf numFmtId="0" fontId="2" fillId="4" borderId="1" xfId="0" applyFont="1" applyFill="1" applyBorder="1" applyAlignment="1">
      <x:alignment wrapText="1"/>
    </x:xf>
    <x:xf numFmtId="0" fontId="2" fillId="4" borderId="1" xfId="0" applyFont="1" applyFill="1" applyBorder="1" applyAlignment="1">
      <x:alignment horizontal="center" wrapText="1"/>
    </x:xf>
    <x:xf numFmtId="0" fontId="7" fillId="8" borderId="1" xfId="0" applyFont="1" applyFill="1" applyBorder="1" applyAlignment="1">
      <x:alignment vertical="center" wrapText="1"/>
    </x:xf>
    <x:xf numFmtId="0" fontId="8" fillId="9" borderId="1" xfId="0" applyFont="1" applyFill="1" applyBorder="1" applyAlignment="1">
      <x:alignment vertical="center" wrapText="1"/>
    </x:xf>
    <x:xf numFmtId="0" fontId="5" fillId="8" borderId="1" xfId="0" applyFont="1" applyFill="1" applyBorder="1" applyAlignment="1">
      <x:alignment vertical="center" wrapText="1"/>
    </x:xf>
    <x:xf numFmtId="0" fontId="9" fillId="9" borderId="1" xfId="0" applyFont="1" applyFill="1" applyBorder="1" applyAlignment="1">
      <x:alignment vertical="center" wrapText="1"/>
    </x:xf>
    <x:xf numFmtId="0" fontId="5" fillId="8" borderId="1" xfId="0" applyFont="1" applyFill="1" applyBorder="1" applyAlignment="1">
      <x:alignment horizontal="center" vertical="center" wrapText="1"/>
    </x:xf>
    <x:xf numFmtId="0" fontId="9" fillId="9" borderId="1" xfId="0" applyFont="1" applyFill="1" applyBorder="1" applyAlignment="1">
      <x:alignment horizontal="center" vertical="center" wrapText="1"/>
    </x:xf>
    <x:xf numFmtId="0" fontId="9" fillId="9" borderId="2" xfId="0" applyFont="1" applyFill="1" applyBorder="1" applyAlignment="1">
      <x:alignment horizontal="center" vertical="center" wrapText="1"/>
    </x:xf>
    <x:xf numFmtId="165" fontId="9" fillId="9" borderId="1" xfId="0" applyNumberFormat="1" applyFont="1" applyFill="1" applyBorder="1" applyAlignment="1">
      <x:alignment horizontal="center" vertical="center" wrapText="1"/>
    </x:xf>
    <x:xf numFmtId="165" fontId="9" fillId="9" borderId="2" xfId="0" applyNumberFormat="1" applyFont="1" applyFill="1" applyBorder="1" applyAlignment="1">
      <x:alignment horizontal="center" vertical="center" wrapText="1"/>
    </x:xf>
    <x:xf numFmtId="0" fontId="9" fillId="11" borderId="1" xfId="0" applyFont="1" applyFill="1" applyBorder="1" applyAlignment="1">
      <x:alignment vertical="center" wrapText="1"/>
    </x:xf>
    <x:xf numFmtId="4" fontId="9" fillId="12" borderId="1" xfId="0" applyNumberFormat="1" applyFont="1" applyFill="1" applyBorder="1" applyAlignment="1">
      <x:alignment horizontal="center" vertical="center" wrapText="1"/>
    </x:xf>
    <x:xf numFmtId="9" fontId="9" fillId="10" borderId="1" xfId="0" applyNumberFormat="1" applyFont="1" applyFill="1" applyBorder="1" applyAlignment="1">
      <x:alignment horizontal="center" vertical="center" wrapText="1"/>
    </x:xf>
    <x:xf numFmtId="4" fontId="9" fillId="10" borderId="1" xfId="0" applyNumberFormat="1" applyFont="1" applyFill="1" applyBorder="1" applyAlignment="1">
      <x:alignment horizontal="center" vertical="center" wrapText="1"/>
    </x:xf>
    <x:xf numFmtId="0" fontId="9" fillId="11" borderId="1" xfId="0" applyFont="1" applyFill="1" applyBorder="1" applyAlignment="1">
      <x:alignment horizontal="center" vertical="center" wrapText="1"/>
    </x:xf>
    <x:xf numFmtId="0" fontId="1" fillId="7" borderId="1" xfId="0" applyFont="1" applyFill="1" applyBorder="1" applyAlignment="1">
      <x:alignment horizontal="left" vertical="center" wrapText="1"/>
    </x:xf>
    <x:xf numFmtId="0" fontId="2" fillId="7" borderId="1" xfId="0" applyFont="1" applyFill="1" applyBorder="1" applyAlignment="1">
      <x:alignment wrapText="1"/>
    </x:xf>
    <x:xf numFmtId="0" fontId="1" fillId="7" borderId="0" xfId="0" applyFont="1" applyFill="1" applyAlignment="1">
      <x:alignment horizontal="left" vertical="center" wrapText="1"/>
    </x:xf>
    <x:xf numFmtId="0" fontId="2" fillId="7" borderId="0" xfId="0" applyFont="1" applyFill="1" applyAlignment="1">
      <x:alignment wrapText="1"/>
    </x:xf>
    <x:xf numFmtId="0" fontId="6" fillId="5" borderId="1" xfId="0" applyFont="1" applyFill="1" applyBorder="1" applyAlignment="1">
      <x:alignment wrapText="1"/>
    </x:xf>
    <x:xf numFmtId="0" fontId="2" fillId="0" borderId="1" xfId="0" applyFont="1" applyBorder="1" applyAlignment="1">
      <x:alignment wrapText="1"/>
    </x:xf>
    <x:xf numFmtId="0" fontId="1" fillId="7" borderId="1" xfId="0" applyFont="1" applyFill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wrapText="1"/>
    </x:xf>
    <x:xf numFmtId="0" fontId="1" fillId="0" borderId="5" xfId="0" applyFont="1" applyBorder="1" applyAlignment="1">
      <x:alignment horizontal="center" wrapText="1"/>
    </x:xf>
    <x:xf numFmtId="0" fontId="1" fillId="0" borderId="4" xfId="0" applyFont="1" applyBorder="1" applyAlignment="1">
      <x:alignment horizontal="center" wrapText="1"/>
    </x:xf>
    <x:xf numFmtId="0" fontId="3" fillId="7" borderId="1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 wrapText="1"/>
    </x:xf>
    <x:xf numFmtId="0" fontId="2" fillId="3" borderId="1" xfId="0" applyFont="1" applyFill="1" applyBorder="1" applyAlignment="1">
      <x:alignment horizontal="left" vertical="center" wrapText="1"/>
    </x:xf>
    <x:xf numFmtId="4" fontId="2" fillId="10" borderId="1" xfId="0" applyNumberFormat="1" applyFont="1" applyFill="1" applyBorder="1" applyAlignment="1">
      <x:alignment horizontal="left" vertical="center" wrapText="1"/>
    </x:xf>
    <x:xf numFmtId="0" fontId="2" fillId="3" borderId="1" xfId="0" applyFont="1" applyFill="1" applyBorder="1" applyAlignment="1">
      <x:alignment horizontal="left" vertical="center" wrapText="1"/>
    </x:xf>
    <x:xf numFmtId="0" fontId="2" fillId="4" borderId="1" xfId="0" applyFont="1" applyFill="1" applyBorder="1" applyAlignment="1">
      <x:alignment horizontal="left" vertical="center" wrapText="1"/>
    </x:xf>
    <x:xf numFmtId="0" fontId="2" fillId="4" borderId="1" xfId="0" applyFont="1" applyFill="1" applyBorder="1" applyAlignment="1">
      <x:alignment horizontal="left" vertical="center" wrapText="1"/>
    </x:xf>
    <x:xf numFmtId="0" fontId="2" fillId="4" borderId="1" xfId="0" applyFont="1" applyFill="1" applyBorder="1" applyAlignment="1">
      <x:alignment horizontal="left" vertical="center" wrapText="1"/>
    </x:xf>
    <x:xf numFmtId="0" fontId="2" fillId="4" borderId="1" xfId="0" applyFont="1" applyFill="1" applyBorder="1" applyAlignment="1">
      <x:alignment horizontal="left" vertical="center" wrapText="1"/>
    </x:xf>
    <x:xf numFmtId="0" fontId="2" fillId="10" borderId="1" xfId="0" applyFont="1" applyFill="1" applyBorder="1" applyAlignment="1">
      <x:alignment horizontal="left" vertical="center" wrapText="1"/>
    </x:xf>
    <x:xf numFmtId="0" fontId="2" fillId="10" borderId="1" xfId="0" applyFont="1" applyFill="1" applyBorder="1" applyAlignment="1">
      <x:alignment horizontal="left" vertical="center" wrapText="1"/>
    </x:xf>
    <x:xf numFmtId="49" fontId="2" fillId="10" borderId="1" xfId="0" applyNumberFormat="1" applyFont="1" applyFill="1" applyBorder="1" applyAlignment="1">
      <x:alignment horizontal="left" vertical="center" wrapText="1"/>
    </x:xf>
    <x:xf numFmtId="0" fontId="4" fillId="2" borderId="1" xfId="0" applyFont="1" applyFill="1" applyBorder="1" applyAlignment="1">
      <x:alignment horizontal="left" vertical="center" wrapText="1"/>
    </x:xf>
    <x:xf numFmtId="0" fontId="6" fillId="5" borderId="1" xfId="0" applyFont="1" applyFill="1" applyBorder="1" applyAlignment="1">
      <x:alignment horizontal="left" vertical="center" wrapText="1"/>
    </x:xf>
    <x:xf numFmtId="0" fontId="8" fillId="9" borderId="1" xfId="0" applyFont="1" applyFill="1" applyBorder="1" applyAlignment="1">
      <x:alignment horizontal="left" vertical="center" wrapText="1"/>
    </x:xf>
    <x:xf numFmtId="0" fontId="9" fillId="9" borderId="1" xfId="0" applyFont="1" applyFill="1" applyBorder="1" applyAlignment="1">
      <x:alignment horizontal="left" vertical="center" wrapText="1"/>
    </x:xf>
    <x:xf numFmtId="0" fontId="9" fillId="11" borderId="1" xfId="0" applyFont="1" applyFill="1" applyBorder="1" applyAlignment="1">
      <x:alignment horizontal="left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 wrapText="1"/>
    </x:xf>
  </x:cellXfs>
  <x:cellStyles count="1">
    <x:cellStyle name="Normal" xfId="0"/>
  </x:cellStyles>
  <x:dxfs count="67">
    <x:dxf>
      <x:fill>
        <x:patternFill>
          <x:bgColor rgb="FFE7E6E6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/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/>
        <x:bottom/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/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/>
        <x:bottom/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/>
        <x:bottom/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/>
        <x:bottom/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/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alignment horizontal="center" textRotation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  <x:border diagonalUp="0" diagonalDown="0">
        <x:left/>
        <x:right style="thin">
          <x:color indexed="64"/>
        </x:right>
        <x:top style="thin">
          <x:color indexed="64"/>
        </x:top>
        <x:bottom style="thin">
          <x:color indexed="64"/>
        </x:bottom>
        <x:vertical style="thin">
          <x:color indexed="64"/>
        </x:vertical>
        <x:horizontal style="thin">
          <x:color indexed="64"/>
        </x:horizontal>
      </x:border>
    </x:dxf>
    <x:dxf>
      <x:font>
        <x:strike val="0"/>
        <x:outline val="0"/>
        <x:shadow val="0"/>
        <x:u val="none"/>
        <x:vertAlign val="baseline"/>
        <x:sz val="11"/>
        <x:color auto="1"/>
        <x:name val="Times New Roman"/>
        <x:family val="1"/>
        <x:scheme val="none"/>
      </x:font>
    </x:dxf>
    <x:dxf>
      <x:font>
        <x:strike val="0"/>
        <x:outline val="0"/>
        <x:shadow val="0"/>
        <x:u val="none"/>
        <x:vertAlign val="baseline"/>
        <x:name val="Times New Roman"/>
        <x:family val="1"/>
        <x:scheme val="none"/>
      </x:font>
      <x:border diagonalUp="0" diagonalDown="0">
        <x:left style="thin">
          <x:color indexed="64"/>
        </x:left>
        <x:right style="thin">
          <x:color indexed="64"/>
        </x:right>
        <x:top/>
        <x:bottom/>
        <x:vertical style="thin">
          <x:color indexed="64"/>
        </x:vertical>
        <x:horizontal style="thin">
          <x:color indexed="64"/>
        </x:horizontal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d68a36bca4859" /><Relationship Type="http://schemas.openxmlformats.org/officeDocument/2006/relationships/theme" Target="/xl/theme/theme1.xml" Id="R40c8890243e54cda" /><Relationship Type="http://schemas.openxmlformats.org/officeDocument/2006/relationships/sharedStrings" Target="/xl/sharedStrings.xml" Id="Re396f48a960e42ef" /><Relationship Type="http://schemas.openxmlformats.org/officeDocument/2006/relationships/worksheet" Target="/xl/worksheets/sheet1.xml" Id="Rfc69561ae088472e" /><Relationship Type="http://schemas.openxmlformats.org/officeDocument/2006/relationships/worksheet" Target="/xl/worksheets/sheet2.xml" Id="R85a8ef39e3154ae0" /><Relationship Type="http://schemas.openxmlformats.org/officeDocument/2006/relationships/worksheet" Target="/xl/worksheets/sheet3.xml" Id="R29b343e418b64d48" /><Relationship Type="http://schemas.openxmlformats.org/officeDocument/2006/relationships/worksheet" Target="/xl/worksheets/sheet4.xml" Id="Re4ba5d7369584c6c" /><Relationship Type="http://schemas.openxmlformats.org/officeDocument/2006/relationships/worksheet" Target="/xl/worksheets/sheet5.xml" Id="R0dc2ccf4fef34c96" /><Relationship Type="http://schemas.openxmlformats.org/officeDocument/2006/relationships/worksheet" Target="/xl/worksheets/sheet6.xml" Id="R1f4399ab093743d9" /><Relationship Type="http://schemas.openxmlformats.org/officeDocument/2006/relationships/worksheet" Target="/xl/worksheets/sheet7.xml" Id="R45d1a76d991d4fcc" /><Relationship Type="http://schemas.openxmlformats.org/officeDocument/2006/relationships/worksheet" Target="/xl/worksheets/sheet8.xml" Id="R0849c54857d9436d" /><Relationship Type="http://schemas.openxmlformats.org/officeDocument/2006/relationships/worksheet" Target="/xl/worksheets/sheet9.xml" Id="R6a9326dbf3d84e2a" /><Relationship Type="http://schemas.openxmlformats.org/officeDocument/2006/relationships/worksheet" Target="/xl/worksheets/sheet10.xml" Id="R540f7aab0a944a46" /><Relationship Type="http://schemas.openxmlformats.org/officeDocument/2006/relationships/worksheet" Target="/xl/worksheets/sheet11.xml" Id="Rb4e2e84e0d4e493f" /><Relationship Type="http://schemas.openxmlformats.org/officeDocument/2006/relationships/worksheet" Target="/xl/worksheets/sheet12.xml" Id="R430c2552707c4284" /></Relationships>
</file>

<file path=xl/tables/table1.xml><?xml version="1.0" encoding="utf-8"?>
<x:table xmlns:x="http://schemas.openxmlformats.org/spreadsheetml/2006/main" id="1" name="ActivitiesTable" displayName="ActivitiesTable" ref="A2:K99" totalsRowShown="0" dataDxfId="47">
  <x:tableColumns count="11">
    <x:tableColumn id="1" name="ID_da_Atividade" dataDxfId="46"/>
    <x:tableColumn id="2" name="Nome_da_Atividade" dataDxfId="45"/>
    <x:tableColumn id="3" name="Predecessoras" dataDxfId="44"/>
    <x:tableColumn id="4" name="Modelo_de_Duracao" dataDxfId="43"/>
    <x:tableColumn id="5" name="Duracao_Fixa" dataDxfId="42"/>
    <x:tableColumn id="6" name="Duracao_Minima" dataDxfId="41"/>
    <x:tableColumn id="7" name="Duracao_Mais_Provavel" dataDxfId="40"/>
    <x:tableColumn id="8" name="Duracao_Maxima" dataDxfId="39"/>
    <x:tableColumn id="9" name="Duracao_Media" dataDxfId="38"/>
    <x:tableColumn id="10" name="Desvio_Padrao_da_Duracao" dataDxfId="37"/>
    <x:tableColumn id="11" name="Custo_Fixo" dataDxfId="3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RegisterTable" displayName="RiskRegisterTable" ref="A2:P99" totalsRowShown="0" dataDxfId="65">
  <x:tableColumns count="16">
    <x:tableColumn id="1" name="ID_do_Risco" dataDxfId="64"/>
    <x:tableColumn id="2" name="Nome_do_Risco" dataDxfId="63"/>
    <x:tableColumn id="3" name="Enunciado_do_Risco" dataDxfId="62"/>
    <x:tableColumn id="4" name="Categoria" dataDxfId="61"/>
    <x:tableColumn id="5" name="Tipo_de_Risco" dataDxfId="60"/>
    <x:tableColumn id="6" name="Probabilidade" dataDxfId="59"/>
    <x:tableColumn id="7" name="Abrangencia" dataDxfId="58"/>
    <x:tableColumn id="8" name="Tipo_de_Impacto" dataDxfId="57"/>
    <x:tableColumn id="9" name="Gatilho_Causa" dataDxfId="56"/>
    <x:tableColumn id="10" name="Responsavel" dataDxfId="55"/>
    <x:tableColumn id="11" name="Estrategia_de_Resposta" dataDxfId="54"/>
    <x:tableColumn id="12" name="Acao_de_Resposta" dataDxfId="53"/>
    <x:tableColumn id="13" name="Situacao" dataDxfId="52"/>
    <x:tableColumn id="14" name="Distribuicao_Padrao_do_Impacto" dataDxfId="51"/>
    <x:tableColumn id="15" name="Observacoes" dataDxfId="50"/>
    <x:tableColumn id="16" name="Ativo" dataDxfId="49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ActivityMapTable" displayName="RiskActivityMapTable" ref="A2:J99" totalsRowShown="0" dataDxfId="34">
  <x:tableColumns count="10">
    <x:tableColumn id="1" name="ID_do_Risco" dataDxfId="33"/>
    <x:tableColumn id="2" name="ID_da_Atividade" dataDxfId="32"/>
    <x:tableColumn id="3" name="Tipo_de_Impacto" dataDxfId="31"/>
    <x:tableColumn id="4" name="Distribuicao" dataDxfId="30"/>
    <x:tableColumn id="5" name="Impacto_Fixo" dataDxfId="29"/>
    <x:tableColumn id="6" name="Impacto_Minimo" dataDxfId="28"/>
    <x:tableColumn id="7" name="Impacto_Mais_Provavel" dataDxfId="27"/>
    <x:tableColumn id="8" name="Impacto_Maximo" dataDxfId="26"/>
    <x:tableColumn id="9" name="Impacto_Medio" dataDxfId="25"/>
    <x:tableColumn id="10" name="Desvio_Padrao_do_Impacto" dataDxfId="24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iskRelationshipsTable" displayName="RiskRelationshipsTable" ref="A2:F99" totalsRowShown="0" dataDxfId="22">
  <x:tableColumns count="6">
    <x:tableColumn id="1" name="Risco_Origem" dataDxfId="21"/>
    <x:tableColumn id="2" name="Risco_Destino" dataDxfId="20"/>
    <x:tableColumn id="3" name="Tipo_de_Relacao" dataDxfId="19"/>
    <x:tableColumn id="4" name="Parametro_de_Influencia" dataDxfId="18"/>
    <x:tableColumn id="5" name="Ativo" dataDxfId="17"/>
    <x:tableColumn id="6" name="Observacoes" dataDxfId="1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lidationSpecTable" displayName="ValidationSpecTable" ref="A2:E15" totalsRowShown="0" dataDxfId="14">
  <x:tableColumns count="5">
    <x:tableColumn id="1" name="Área" dataDxfId="13"/>
    <x:tableColumn id="2" name="Regra" dataDxfId="12"/>
    <x:tableColumn id="3" name="Severidade" dataDxfId="11"/>
    <x:tableColumn id="4" name="Mensagem de exemplo" dataDxfId="10"/>
    <x:tableColumn id="5" name="Ação" dataDxfId="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3b66f257f9144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1a6e28e4a8544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2c902721fc54f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c0d80f2877048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f74b0e30bf74d1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style="12" customWidth="1"/>
    <x:col min="2" max="2" width="167.5" style="2" customWidth="1"/>
    <x:col min="3" max="16384" width="9" style="2" customWidth="0"/>
  </x:cols>
  <x:sheetData>
    <x:row r="1" s="1" customFormat="1" ht="23.25" customHeight="1">
      <x:c r="A1" s="55" t="inlineStr">
        <x:is>
          <x:t xml:space="preserve">Pasta de entrada da Análise de Riscos de Projetos V2.2</x:t>
        </x:is>
      </x:c>
      <x:c r="B1" s="56"/>
      <x:c r="C1" s="56"/>
      <x:c r="D1" s="56"/>
      <x:c r="E1" s="56"/>
      <x:c r="F1" s="56"/>
      <x:c r="G1" s="56"/>
      <x:c r="H1" s="56"/>
    </x:row>
    <x:row r="2" ht="21" customHeight="1">
      <x:c r="A2" s="126" t="inlineStr">
        <x:is>
          <x:t xml:space="preserve">Finalidade</x:t>
        </x:is>
      </x:c>
      <x:c r="B2" s="127" t="inlineStr">
        <x:is>
          <x:t xml:space="preserve">Modelo de entrada para análise probabilística orientada de riscos de projetos.</x:t>
        </x:is>
      </x:c>
    </x:row>
    <x:row r="3" ht="21" customHeight="1">
      <x:c r="A3" s="126" t="inlineStr">
        <x:is>
          <x:t xml:space="preserve">Fluxo de trabalho</x:t>
        </x:is>
      </x:c>
      <x:c r="B3" s="127" t="inlineStr">
        <x:is>
          <x:t xml:space="preserve">Projeto → Atividades → Registro de riscos → Mapeamento risco–atividade → Validar → Simular → Retrato de riscos → Tratamento</x:t>
        </x:is>
      </x:c>
    </x:row>
    <x:row r="4" ht="21" customHeight="1">
      <x:c r="A4" s="126" t="inlineStr">
        <x:is>
          <x:t xml:space="preserve">Células verdes</x:t>
        </x:is>
      </x:c>
      <x:c r="B4" s="127" t="inlineStr">
        <x:is>
          <x:t xml:space="preserve">Entradas principais/esperadas do usuário.</x:t>
        </x:is>
      </x:c>
    </x:row>
    <x:row r="5" ht="21" customHeight="1">
      <x:c r="A5" s="126" t="inlineStr">
        <x:is>
          <x:t xml:space="preserve">Células cinzas</x:t>
        </x:is>
      </x:c>
      <x:c r="B5" s="127" t="inlineStr">
        <x:is>
          <x:t xml:space="preserve">Entradas opcionais ou obrigatórias sob determinadas condições.</x:t>
        </x:is>
      </x:c>
    </x:row>
    <x:row r="6" ht="21" customHeight="1">
      <x:c r="A6" s="126" t="inlineStr">
        <x:is>
          <x:t xml:space="preserve">Probabilidade</x:t>
        </x:is>
      </x:c>
      <x:c r="B6" s="127" t="inlineStr">
        <x:is>
          <x:t xml:space="preserve">Insira um decimal entre 0 e 1 (por exemplo, 0,30 = 30%).</x:t>
        </x:is>
      </x:c>
    </x:row>
    <x:row r="7" ht="21" customHeight="1">
      <x:c r="A7" s="126" t="inlineStr">
        <x:is>
          <x:t xml:space="preserve">Lógica de duração</x:t>
        </x:is>
      </x:c>
      <x:c r="B7" s="127" t="inlineStr">
        <x:is>
          <x:t xml:space="preserve">Para distribuições de três pontos: mínimo/otimista ≤ mais provável ≤ máximo/pessimista.</x:t>
        </x:is>
      </x:c>
    </x:row>
    <x:row r="8" ht="36" customHeight="1">
      <x:c r="A8" s="126" t="inlineStr">
        <x:is>
          <x:t xml:space="preserve">Ocorrência dos riscos</x:t>
        </x:is>
      </x:c>
      <x:c r="B8" s="127" t="inlineStr">
        <x:is>
          <x:t xml:space="preserve">Cada risco é amostrado uma vez por iteração de Monte Carlo e depois aplicado a todas as atividades mapeadas.</x:t>
        </x:is>
      </x:c>
    </x:row>
    <x:row r="9" ht="21" customHeight="1">
      <x:c r="A9" s="126" t="inlineStr">
        <x:is>
          <x:t xml:space="preserve">Impactos dos riscos</x:t>
        </x:is>
      </x:c>
      <x:c r="B9" s="127" t="inlineStr">
        <x:is>
          <x:t xml:space="preserve">As consequências são definidas em Mapa_Risco_Atividade; o mesmo risco pode afetar atividades de formas diferentes.</x:t>
        </x:is>
      </x:c>
    </x:row>
    <x:row r="10" ht="21" customHeight="1">
      <x:c r="A10" s="126" t="inlineStr">
        <x:is>
          <x:t xml:space="preserve">Camada avançada</x:t>
        </x:is>
      </x:c>
      <x:c r="B10" s="127" t="inlineStr">
        <x:is>
          <x:t xml:space="preserve">Relacoes_entre_Riscos é opcional e reservado para futura modelagem causal/dependências.</x:t>
        </x:is>
      </x:c>
    </x:row>
    <x:row r="11" ht="21" customHeight="1">
      <x:c r="A11" s="128" t="inlineStr">
        <x:is>
          <x:t xml:space="preserve">Modelo de custos</x:t>
        </x:is>
      </x:c>
      <x:c r="B11" s="127" t="inlineStr">
        <x:is>
          <x:t xml:space="preserve">Custo_Fixo + Taxa_de_Custo × duração final da atividade + custos diretos dos riscos mapeados; total limitado inferiormente a zero.</x:t>
        </x:is>
      </x:c>
    </x:row>
    <x:row r="12" ht="36" customHeight="1">
      <x:c r="A12" s="128" t="inlineStr">
        <x:is>
          <x:t xml:space="preserve">Migração</x:t>
        </x:is>
      </x:c>
      <x:c r="B12" s="127" t="inlineStr">
        <x:is>
          <x:t xml:space="preserve">V2.2 divide cada orçamento original em parcelas ilustrativas fixas e temporais. Custo_Fixo + Taxa_de_Custo × duração de referência preserva o valor original; consulte Premissas_do_Caso.</x:t>
        </x:is>
      </x:c>
    </x:row>
    <x:row r="13" ht="36" customHeight="1">
      <x:c r="A13" s="128" t="inlineStr">
        <x:is>
          <x:t xml:space="preserve">Unidades</x:t>
        </x:is>
      </x:c>
      <x:c r="B13" s="127" t="inlineStr">
        <x:is>
          <x:t xml:space="preserve">Taxa_de_Custo é a moeda por unidade de tempo do projeto. Custo_Fixo independe da duração; custos diretos dos riscos excluem despesas já cobertas pela Taxa_de_Custo.</x:t>
        </x:is>
      </x:c>
    </x:row>
    <x:row r="14" ht="36" customHeight="1">
      <x:c r="A14" s="128" t="inlineStr">
        <x:is>
          <x:t xml:space="preserve">Seleção do registro</x:t>
        </x:is>
      </x:c>
      <x:c r="B14" s="127" t="inlineStr">
        <x:is>
          <x:t xml:space="preserve">Ativo=falso mantém o risco para gestão, mas o exclui da simulação. Um risco não selecionado pode ter probabilidade em branco; riscos ativos exigem esse valor.</x:t>
        </x:is>
      </x:c>
    </x:row>
    <x:row r="15" ht="36" customHeight="1">
      <x:c r="A15" s="128" t="inlineStr">
        <x:is>
          <x:t xml:space="preserve">Escala qualitativa</x:t>
        </x:is>
      </x:c>
      <x:c r="B15" s="127" t="inlineStr">
        <x:is>
          <x:t xml:space="preserve">Impacto avaliado pelo usuário: 1 muito baixo, 2 baixo, 3 moderado, 4 alto, 5 muito alto. Defina consequências específicas do projeto em Justificativa_da_Avaliacao.</x:t>
        </x:is>
      </x:c>
    </x:row>
    <x:row r="16" ht="36" customHeight="1">
      <x:c r="A16" s="128" t="inlineStr">
        <x:is>
          <x:t xml:space="preserve">Pontuações de triagem</x:t>
        </x:is>
      </x:c>
      <x:c r="B16" s="127" t="inlineStr">
        <x:is>
          <x:t xml:space="preserve">O aplicativo calcula probabilidade × impacto separadamente para prazo e custo. Triagem ordinal apenas; sem limites automáticos de aceitação.</x:t>
        </x:is>
      </x:c>
    </x:row>
    <x:row r="17" ht="36" customHeight="1">
      <x:c r="A17" s="128" t="inlineStr">
        <x:is>
          <x:t xml:space="preserve">Ação de resposta</x:t>
        </x:is>
      </x:c>
      <x:c r="B17" s="127" t="inlineStr">
        <x:is>
          <x:t xml:space="preserve">Escreva uma ação concreta, um responsável e um prazo. Ações existentes que contêm apenas a estratégia são preservadas e sinalizadas para complementação.</x:t>
        </x:is>
      </x:c>
    </x:row>
    <x:row r="18" ht="21" customHeight="1">
      <x:c r="A18" s="128" t="inlineStr">
        <x:is>
          <x:t xml:space="preserve">Avaliação residual</x:t>
        </x:is>
      </x:c>
      <x:c r="B18" s="127" t="inlineStr">
        <x:is>
          <x:t xml:space="preserve">Campos residuais documentam a avaliação humana; não alteram as entradas da simulação. Pendente permanece até a decisão do responsável.</x:t>
        </x:is>
      </x:c>
    </x:row>
    <x:row r="19" ht="36" customHeight="1">
      <x:c r="A19" s="128" t="inlineStr">
        <x:is>
          <x:t xml:space="preserve">Premissas de tratamento</x:t>
        </x:is>
      </x:c>
      <x:c r="B19" s="127" t="inlineStr">
        <x:is>
          <x:t xml:space="preserve">As linhas opcionais de Tratamentos_dos_Riscos inicializam os controles do aplicativo; probabilidade em branco mantém a original e multiplicadores em branco equivalem a 1. Somente riscos ativos selecionados são tratados ao executar.</x:t>
        </x:is>
      </x:c>
    </x:row>
    <x:row r="20" ht="36" customHeight="1">
      <x:c r="A20" s="128" t="inlineStr">
        <x:is>
          <x:t xml:space="preserve">Dimensões do tratamento</x:t>
        </x:is>
      </x:c>
      <x:c r="B20" s="127" t="inlineStr">
        <x:is>
          <x:t xml:space="preserve">O multiplicador de duração altera a duração mapeada; o multiplicador de custo direto altera o custo mapeado. Custos baseados em taxas acompanham automaticamente a duração final.</x:t>
        </x:is>
      </x:c>
    </x:row>
    <x:row r="21" ht="36" customHeight="1">
      <x:c r="A21" s="128" t="inlineStr">
        <x:is>
          <x:t xml:space="preserve">Definições das categorias</x:t>
        </x:is>
      </x:c>
      <x:c r="B21" s="127" t="inlineStr">
        <x:is>
          <x:t xml:space="preserve">Categorias_dos_Riscos preserva as categorias do projeto. Complete seus critérios de inclusão; não há classificação automática.</x:t>
        </x:is>
      </x:c>
    </x:row>
    <x:row r="22" ht="36" customHeight="1">
      <x:c r="A22" s="128" t="inlineStr">
        <x:is>
          <x:t xml:space="preserve">Relações entre riscos</x:t>
        </x:is>
      </x:c>
      <x:c r="B22" s="127" t="inlineStr">
        <x:is>
          <x:t xml:space="preserve">Camada futura inativa; sem propagação entre riscos nesta versão.</x:t>
        </x:is>
      </x:c>
    </x:row>
    <x:row r="23" ht="36" customHeight="1">
      <x:c r="A23" s="128" t="inlineStr">
        <x:is>
          <x:t xml:space="preserve">Retrato de riscos</x:t>
        </x:is>
      </x:c>
      <x:c r="B23" s="127" t="inlineStr">
        <x:is>
          <x:t xml:space="preserve">Cada curva representa a duração total do projeto para seu subconjunto de riscos. ST inclui todos os riscos ativos. Cenários intermediários exigem cálculo; ST reutiliza o resultado principal.</x:t>
        </x:is>
      </x:c>
    </x:row>
    <x:row r="24" ht="36" customHeight="1">
      <x:c r="A24" s="128" t="inlineStr">
        <x:is>
          <x:t xml:space="preserve">Associação do risco</x:t>
        </x:is>
      </x:c>
      <x:c r="B24" s="127" t="inlineStr">
        <x:is>
          <x:t xml:space="preserve">A importância dos riscos usa correlação de Pearson entre ocorrência e resultado; a crucialidade das atividades usa correlação de Spearman entre duração da atividade e duração do projeto. Casos constantes indefinidos são exibidos como zero.</x:t>
        </x:is>
      </x:c>
    </x:row>
    <x:row r="25" ht="36" customHeight="1">
      <x:c r="A25" s="128" t="inlineStr">
        <x:is>
          <x:t xml:space="preserve">Convenção de categorias</x:t>
        </x:is>
      </x:c>
      <x:c r="B25" s="127" t="inlineStr">
        <x:is>
          <x:t xml:space="preserve">Categorias_dos_Riscos fornece definições de trabalho editáveis, não uma norma externa. Escolha a categoria principal e explique sobreposições em Observações.</x:t>
        </x:is>
      </x:c>
    </x:row>
    <x:row r="26" ht="36" customHeight="1">
      <x:c r="A26" s="128" t="inlineStr">
        <x:is>
          <x:t xml:space="preserve">Fonte do caso</x:t>
        </x:is>
      </x:c>
      <x:c r="B26" s="127" t="inlineStr">
        <x:is>
          <x:t xml:space="preserve">Case Study of a Residential Building Project.docx: fonte do cenário com 30 atividades e 24 riscos e das metas originais. Novas taxas, avaliações e eficácias de tratamento são premissas ilustrativas.</x:t>
        </x:is>
      </x:c>
    </x:row>
    <x:row r="27" ht="36" customHeight="1">
      <x:c r="A27" s="128" t="inlineStr">
        <x:is>
          <x:t xml:space="preserve">Premissa de unidades</x:t>
        </x:is>
      </x:c>
      <x:c r="B27" s="127" t="inlineStr">
        <x:is>
          <x:t xml:space="preserve">A fonte especifica unidades genéricas de tempo/moeda. Use unidades de tempo do projeto e unidades monetárias consistentemente; não se estabelece calendário ou moeda real.</x:t>
        </x:is>
      </x:c>
    </x:row>
    <x:row r="28" ht="36" customHeight="1">
      <x:c r="A28" s="128" t="inlineStr">
        <x:is>
          <x:t xml:space="preserve">Prazos relativos</x:t>
        </x:is>
      </x:c>
      <x:c r="B28" s="127" t="inlineStr">
        <x:is>
          <x:t xml:space="preserve">Prazo_da_Resposta contém um marco relativo da construção porque não foi informada a data de início do projeto. Substitua por datas reais quando houver calendário de referência.</x:t>
        </x:is>
      </x:c>
    </x:row>
    <x:row r="29" ht="36" customHeight="1">
      <x:c r="A29" s="128" t="inlineStr">
        <x:is>
          <x:t xml:space="preserve">Base de custos</x:t>
        </x:is>
      </x:c>
      <x:c r="B29" s="127" t="inlineStr">
        <x:is>
          <x:t xml:space="preserve">Premissas_do_Caso calcula a duração de referência, a taxa de custo, o custo fixo e o total de referência por fórmulas vinculadas; Atividades utiliza esses resultados. Células verdes são entradas; células cinzas de custo são calculadas.</x:t>
        </x:is>
      </x:c>
    </x:row>
    <x:row r="30" ht="36" customHeight="1">
      <x:c r="A30" s="128" t="inlineStr">
        <x:is>
          <x:t xml:space="preserve">Sem dupla contagem</x:t>
        </x:is>
      </x:c>
      <x:c r="B30" s="127" t="inlineStr">
        <x:is>
          <x:t xml:space="preserve">Custos diretos mapeados representam materiais adicionais, reparos, multas ou despesas emergenciais além dos recursos ordinários cobertos pelas taxas. Revise esses limites com especialistas do caso.</x:t>
        </x:is>
      </x:c>
    </x:row>
    <x:row r="31" ht="36" customHeight="1">
      <x:c r="A31" s="128" t="inlineStr">
        <x:is>
          <x:t xml:space="preserve">Premissas após a resposta</x:t>
        </x:is>
      </x:c>
      <x:c r="B31" s="127" t="inlineStr">
        <x:is>
          <x:t xml:space="preserve">Probabilidade_Residual equivale à probabilidade proposta após tratamento; avaliações de severidade residual são expectativas subjetivas, não resultados recalculados da simulação. Todas as decisões de aceitação permanecem Pendentes.</x:t>
        </x:is>
      </x:c>
    </x:row>
    <x:row r="32" ht="36" customHeight="1">
      <x:c r="A32" s="128" t="inlineStr">
        <x:is>
          <x:t xml:space="preserve">Oportunidades</x:t>
        </x:is>
      </x:c>
      <x:c r="B32" s="127" t="inlineStr">
        <x:is>
          <x:t xml:space="preserve">Probabilidades ou multiplicadores maiores após o tratamento ampliam os benefícios. Impactos residuais de oportunidades descrevem benefícios potenciais esperados, em vez de severidade remanescente de ameaças.</x:t>
        </x:is>
      </x:c>
    </x:row>
    <x:row r="33" ht="36" customHeight="1">
      <x:c r="A33" s="128" t="inlineStr">
        <x:is>
          <x:t xml:space="preserve">Seleção do tratamento</x:t>
        </x:is>
      </x:c>
      <x:c r="B33" s="127" t="inlineStr">
        <x:is>
          <x:t xml:space="preserve">Os 24 riscos têm premissas de tratamento propostas. Somente os riscos selecionados no aplicativo são tratados; não há implementação ou otimização automática. Os custos de implementação das respostas estão excluídos.</x:t>
        </x:is>
      </x:c>
    </x:row>
    <x:row r="34" ht="36" customHeight="1">
      <x:c r="A34" s="128" t="inlineStr">
        <x:is>
          <x:t xml:space="preserve">Situações existentes no ciclo de vida</x:t>
        </x:is>
      </x:c>
      <x:c r="B34" s="127" t="inlineStr">
        <x:is>
          <x:t xml:space="preserve">Situações originais Encerrado e valores Ativo=verdadeiro são preservados como atributos do caso. Ativo controla a inclusão numérica; Encerrado não exclui automaticamente um risco.</x:t>
        </x:is>
      </x:c>
    </x:row>
    <x:row r="35" ht="36" customHeight="1">
      <x:c r="A35" s="128" t="inlineStr">
        <x:is>
          <x:t xml:space="preserve">Verificação da meta de custo</x:t>
        </x:is>
      </x:c>
      <x:c r="B35" s="127" t="inlineStr">
        <x:is>
          <x:t xml:space="preserve">Os orçamentos originais das atividades totalizam 1.057.000 unidades monetárias frente à meta original de 900.000. Ambos são preservados; o exemplo já excede sua meta antes dos riscos discretos.</x:t>
        </x:is>
      </x:c>
    </x:row>
    <x:row r="36" ht="36" customHeight="1">
      <x:c r="A36" s="128" t="inlineStr">
        <x:is>
          <x:t xml:space="preserve">Fluxo de custos vinculados</x:t>
        </x:is>
      </x:c>
      <x:c r="B36" s="127" t="inlineStr">
        <x:is>
          <x:t xml:space="preserve">Selecione Associacao_de_Custo em Atividades. Edite Custo_Base_Original e Parcela_Dependente_do_Tempo em Premissas_do_Caso. Edite parâmetros de duração em Atividades. As fórmulas vinculadas atualizam o custo fixo e a taxa de custo.</x:t>
        </x:is>
      </x:c>
    </x:row>
    <x:row r="37" ht="36" customHeight="1">
      <x:c r="A37" s="128" t="inlineStr">
        <x:is>
          <x:t xml:space="preserve">Apenas fixo</x:t>
        </x:is>
      </x:c>
      <x:c r="B37" s="127" t="inlineStr">
        <x:is>
          <x:t xml:space="preserve">Apenas fixo impõe Taxa_de_Custo=0 e Custo_Fixo=Custo_Base_Original. A parcela dependente do tempo é ignorada. A15, A22, A23, A24, A29 e A30 são pacotes/taxas de preço fixo ilustrativos, sem verificação contratual.</x:t>
        </x:is>
      </x:c>
    </x:row>
    <x:row r="38" ht="36" customHeight="1">
      <x:c r="A38" s="128" t="inlineStr">
        <x:is>
          <x:t xml:space="preserve">Fórmula da taxa de custo</x:t>
        </x:is>
      </x:c>
      <x:c r="B38" s="127" t="inlineStr">
        <x:is>
          <x:t xml:space="preserve">Taxa da atividade mista = ROUND(orçamento original × parcela dependente do tempo / duração de referência, 2). Custo fixo = ROUND(orçamento original − taxa × duração de referência, 2). Total de referência é custo fixo + taxa × duração de referência.</x:t>
        </x:is>
      </x:c>
    </x:row>
    <x:row r="39" ht="36" customHeight="1">
      <x:c r="A39" s="128" t="inlineStr">
        <x:is>
          <x:t xml:space="preserve">Verificações de fórmulas e unidades</x:t>
        </x:is>
      </x:c>
      <x:c r="B39" s="127" t="inlineStr">
        <x:is>
          <x:t xml:space="preserve">Uma parcela dependente do tempo positiva exige duração de referência positiva. Use parcela 0 ou Apenas fixo para uma atividade de duração zero. Mantenha as unidades de tempo consistentes.</x:t>
        </x:is>
      </x:c>
    </x:row>
    <x:row r="40" ht="36" customHeight="1">
      <x:c r="A40" s="128" t="inlineStr">
        <x:is>
          <x:t xml:space="preserve">Custos diretos dos riscos</x:t>
        </x:is>
      </x:c>
      <x:c r="B40" s="127" t="inlineStr">
        <x:is>
          <x:t xml:space="preserve">Apenas fixo elimina custos proporcionais à duração; não elimina custos adicionais explícitos dos riscos no Mapa_Risco_Atividade. Remova ou ajuste esses mapeamentos quando o contrato transferir essa exposição financeira.</x:t>
        </x:is>
      </x:c>
    </x:row>
    <x:row r="41" ht="36" customHeight="1">
      <x:c r="A41" s="128" t="inlineStr">
        <x:is>
          <x:t xml:space="preserve">Salvar antes do envio</x:t>
        </x:is>
      </x:c>
      <x:c r="B41" s="127" t="inlineStr">
        <x:is>
          <x:t xml:space="preserve">Após alterações, recalcule e salve no Excel antes do envio. O aplicativo lê os resultados salvos das fórmulas. Não substitua fórmulas de custos vinculados por valores digitados, salvo ao abandonar deliberadamente esse fluxo.</x:t>
        </x:is>
      </x:c>
    </x:row>
    <x:row r="42" ht="75" customHeight="1">
      <x:c r="A42" s="153" t="inlineStr">
        <x:is>
          <x:t xml:space="preserve">Parâmetros das distribuições</x:t>
        </x:is>
      </x:c>
      <x:c r="B42" s="154" t="inlineStr">
        <x:is>
          <x:t xml:space="preserve">As células de parâmetros obrigatórios são destacadas conforme a distribuição selecionada; células não utilizadas permanecem neutras e seus conteúdos são preservados.</x:t>
        </x:is>
      </x:c>
    </x:row>
    <x:row r="43" ht="75" customHeight="1">
      <x:c r="A43" s="153" t="inlineStr">
        <x:is>
          <x:t xml:space="preserve">Exponencial</x:t>
        </x:is>
      </x:c>
      <x:c r="B43" s="154" t="inlineStr">
        <x:is>
          <x:t xml:space="preserve">Informe Média aritmética &gt; 0. Desvio-padrão e campos de três pontos não são utilizados. A distribuição é não negativa e não tem máximo finito.</x:t>
        </x:is>
      </x:c>
    </x:row>
    <x:row r="44" ht="75" customHeight="1">
      <x:c r="A44" s="153" t="inlineStr">
        <x:is>
          <x:t xml:space="preserve">Lognormal e Gama</x:t>
        </x:is>
      </x:c>
      <x:c r="B44" s="154" t="inlineStr">
        <x:is>
          <x:t xml:space="preserve">Informe Média aritmética &gt; 0 e Desvio-padrão &gt; 0 nas unidades originais. Parâmetros logarítmicos e forma/escala de Gama são calculados internamente. Não se impõe máximo finito.</x:t>
        </x:is>
      </x:c>
    </x:row>
    <x:row r="45" ht="75" customHeight="1">
      <x:c r="A45" s="153" t="inlineStr">
        <x:is>
          <x:t xml:space="preserve">Distribuições opcionais de custo</x:t>
        </x:is>
      </x:c>
      <x:c r="B45" s="154" t="inlineStr">
        <x:is>
          <x:t xml:space="preserve">Deixe Modelo_de_Custo em branco para manter o fluxo de Custo_Fixo vinculado. Um modelo explícito utiliza seus parâmetros de custo destacados para a parcela independente da duração; a taxa temporal e os custos diretos dos riscos continuam aplicáveis.</x:t>
        </x:is>
      </x:c>
    </x:row>
    <x:row r="46" ht="75" customHeight="1">
      <x:c r="A46" s="153" t="inlineStr">
        <x:is>
          <x:t xml:space="preserve">Escopo das distribuições</x:t>
        </x:is>
      </x:c>
      <x:c r="B46" s="154" t="inlineStr">
        <x:is>
          <x:t xml:space="preserve">As opções descrevem durações de atividades, custos intrínsecos e magnitudes de impactos mapeados. Probabilidades de ocorrência mantêm o suporte original Fixa/Uniforme.</x:t>
        </x:is>
      </x:c>
    </x:row>
    <x:row r="47" ht="75" customHeight="1">
      <x:c r="A47" s="153" t="inlineStr">
        <x:is>
          <x:t xml:space="preserve">Média de referência</x:t>
        </x:is>
      </x:c>
      <x:c r="B47" s="154" t="inlineStr">
        <x:is>
          <x:t xml:space="preserve">O CPM de referência e as fórmulas vinculadas de taxa de custo usam a Média aritmética informada para Exponencial, Lognormal e Gama. Recalcule e salve após alterações antes do envio.</x:t>
        </x:is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5" style="2" customWidth="1"/>
    <x:col min="2" max="2" width="51.5" style="2" customWidth="1"/>
    <x:col min="3" max="3" width="17.75" style="9" customWidth="1"/>
    <x:col min="4" max="4" width="16" style="9" customWidth="1"/>
    <x:col min="5" max="5" width="27" style="2" customWidth="1"/>
    <x:col min="6" max="6" width="18.375" style="9" customWidth="1"/>
    <x:col min="7" max="7" width="30.25" style="2" customWidth="1"/>
    <x:col min="8" max="16384" width="9" style="2" customWidth="0"/>
  </x:cols>
  <x:sheetData>
    <x:row r="1" s="1" customFormat="1" ht="25.5" customHeight="1">
      <x:c r="A1" s="55" t="inlineStr">
        <x:is>
          <x:t xml:space="preserve">1. Informações do projeto</x:t>
        </x:is>
      </x:c>
      <x:c r="B1" s="56"/>
      <x:c r="C1" s="56"/>
      <x:c r="D1" s="56"/>
      <x:c r="E1" s="56"/>
      <x:c r="F1" s="56"/>
      <x:c r="G1" s="56"/>
    </x:row>
    <x:row r="2" ht="48" customHeight="1">
      <x:c r="A2" s="67" t="inlineStr">
        <x:is>
          <x:t xml:space="preserve">Campo</x:t>
        </x:is>
      </x:c>
      <x:c r="B2" s="67" t="inlineStr">
        <x:is>
          <x:t xml:space="preserve">Valor</x:t>
        </x:is>
      </x:c>
      <x:c r="C2" s="67" t="inlineStr">
        <x:is>
          <x:t xml:space="preserve">Obrigatório?</x:t>
        </x:is>
      </x:c>
      <x:c r="D2" s="67" t="inlineStr">
        <x:is>
          <x:t xml:space="preserve">Tipo de dado</x:t>
        </x:is>
      </x:c>
      <x:c r="E2" s="67" t="inlineStr">
        <x:is>
          <x:t xml:space="preserve">Regra de validação</x:t>
        </x:is>
      </x:c>
      <x:c r="F2" s="67" t="inlineStr">
        <x:is>
          <x:t xml:space="preserve">Exemplo</x:t>
        </x:is>
      </x:c>
      <x:c r="G2" s="67" t="inlineStr">
        <x:is>
          <x:t xml:space="preserve">Papel na simulação</x:t>
        </x:is>
      </x:c>
    </x:row>
    <x:row r="3" ht="36" customHeight="1">
      <x:c r="A3" s="129" t="inlineStr">
        <x:is>
          <x:t xml:space="preserve">ID_do_Projeto</x:t>
        </x:is>
      </x:c>
      <x:c r="B3" s="6" t="s">
        <x:v>0</x:v>
      </x:c>
      <x:c r="C3" s="130" t="inlineStr">
        <x:is>
          <x:t xml:space="preserve">Sim</x:t>
        </x:is>
      </x:c>
      <x:c r="D3" s="130" t="inlineStr">
        <x:is>
          <x:t xml:space="preserve">Texto</x:t>
        </x:is>
      </x:c>
      <x:c r="E3" s="129" t="inlineStr">
        <x:is>
          <x:t xml:space="preserve">Não vazio</x:t>
        </x:is>
      </x:c>
      <x:c r="F3" s="13" t="s">
        <x:v>0</x:v>
      </x:c>
      <x:c r="G3" s="129" t="inlineStr">
        <x:is>
          <x:t xml:space="preserve">Identificador da simulação</x:t>
        </x:is>
      </x:c>
    </x:row>
    <x:row r="4" ht="36" customHeight="1">
      <x:c r="A4" s="129" t="inlineStr">
        <x:is>
          <x:t xml:space="preserve">Nome_do_Projeto</x:t>
        </x:is>
      </x:c>
      <x:c r="B4" s="131" t="inlineStr">
        <x:is>
          <x:t xml:space="preserve">Projeto de edificação residencial — caso ilustrativo V2.2</x:t>
        </x:is>
      </x:c>
      <x:c r="C4" s="130" t="inlineStr">
        <x:is>
          <x:t xml:space="preserve">Sim</x:t>
        </x:is>
      </x:c>
      <x:c r="D4" s="130" t="inlineStr">
        <x:is>
          <x:t xml:space="preserve">Texto</x:t>
        </x:is>
      </x:c>
      <x:c r="E4" s="129" t="inlineStr">
        <x:is>
          <x:t xml:space="preserve">Não vazio</x:t>
        </x:is>
      </x:c>
      <x:c r="F4" s="130" t="inlineStr">
        <x:is>
          <x:t xml:space="preserve">Projeto de edificação</x:t>
        </x:is>
      </x:c>
      <x:c r="G4" s="129" t="inlineStr">
        <x:is>
          <x:t xml:space="preserve">Relatórios/contexto</x:t>
        </x:is>
      </x:c>
    </x:row>
    <x:row r="5" ht="66" customHeight="1">
      <x:c r="A5" s="129" t="inlineStr">
        <x:is>
          <x:t xml:space="preserve">Descrição</x:t>
        </x:is>
      </x:c>
      <x:c r="B5" s="131" t="inlineStr">
        <x:is>
          <x:t xml:space="preserve">Demonstração ampliada para ensino/pesquisa com uma rede de atividades maior, registro de ameaças/oportunidades e mapa de exposição risco–atividade.</x:t>
        </x:is>
      </x:c>
      <x:c r="C5" s="130" t="inlineStr">
        <x:is>
          <x:t xml:space="preserve">Não</x:t>
        </x:is>
      </x:c>
      <x:c r="D5" s="130" t="inlineStr">
        <x:is>
          <x:t xml:space="preserve">Texto</x:t>
        </x:is>
      </x:c>
      <x:c r="E5" s="129" t="inlineStr">
        <x:is>
          <x:t xml:space="preserve">Opcional</x:t>
        </x:is>
      </x:c>
      <x:c r="F5" s="130" t="inlineStr">
        <x:is>
          <x:t xml:space="preserve">Construção residencial</x:t>
        </x:is>
      </x:c>
      <x:c r="G5" s="129" t="inlineStr">
        <x:is>
          <x:t xml:space="preserve">Contexto</x:t>
        </x:is>
      </x:c>
    </x:row>
    <x:row r="6" ht="36" customHeight="1">
      <x:c r="A6" s="129" t="inlineStr">
        <x:is>
          <x:t xml:space="preserve">Meta_de_Duracao</x:t>
        </x:is>
      </x:c>
      <x:c r="B6" s="6">
        <x:v>150</x:v>
      </x:c>
      <x:c r="C6" s="130" t="inlineStr">
        <x:is>
          <x:t xml:space="preserve">Não</x:t>
        </x:is>
      </x:c>
      <x:c r="D6" s="130" t="inlineStr">
        <x:is>
          <x:t xml:space="preserve">Número</x:t>
        </x:is>
      </x:c>
      <x:c r="E6" s="129" t="inlineStr">
        <x:is>
          <x:t xml:space="preserve">Positivo, se preenchido</x:t>
        </x:is>
      </x:c>
      <x:c r="F6" s="13" t="s">
        <x:v>1</x:v>
      </x:c>
      <x:c r="G6" s="129" t="inlineStr">
        <x:is>
          <x:t xml:space="preserve">Probabilidade de cumprir a meta de duração</x:t>
        </x:is>
      </x:c>
    </x:row>
    <x:row r="7" ht="36" customHeight="1">
      <x:c r="A7" s="129" t="inlineStr">
        <x:is>
          <x:t xml:space="preserve">Meta_de_Custo</x:t>
        </x:is>
      </x:c>
      <x:c r="B7" s="6">
        <x:v>900000</x:v>
      </x:c>
      <x:c r="C7" s="130" t="inlineStr">
        <x:is>
          <x:t xml:space="preserve">Não</x:t>
        </x:is>
      </x:c>
      <x:c r="D7" s="130" t="inlineStr">
        <x:is>
          <x:t xml:space="preserve">Número</x:t>
        </x:is>
      </x:c>
      <x:c r="E7" s="129" t="inlineStr">
        <x:is>
          <x:t xml:space="preserve">Não negativo, se preenchido</x:t>
        </x:is>
      </x:c>
      <x:c r="F7" s="13" t="s">
        <x:v>2</x:v>
      </x:c>
      <x:c r="G7" s="129" t="inlineStr">
        <x:is>
          <x:t xml:space="preserve">Probabilidade de cumprir a meta de custo</x:t>
        </x:is>
      </x:c>
    </x:row>
    <x:row r="8" ht="36" customHeight="1">
      <x:c r="A8" s="129" t="inlineStr">
        <x:is>
          <x:t xml:space="preserve">Iteracoes_da_Simulacao</x:t>
        </x:is>
      </x:c>
      <x:c r="B8" s="6">
        <x:v>5000</x:v>
      </x:c>
      <x:c r="C8" s="130" t="inlineStr">
        <x:is>
          <x:t xml:space="preserve">Sim</x:t>
        </x:is>
      </x:c>
      <x:c r="D8" s="130" t="inlineStr">
        <x:is>
          <x:t xml:space="preserve">Inteiro</x:t>
        </x:is>
      </x:c>
      <x:c r="E8" s="129" t="inlineStr">
        <x:is>
          <x:t xml:space="preserve">Inteiro &gt; 0</x:t>
        </x:is>
      </x:c>
      <x:c r="F8" s="13" t="s">
        <x:v>3</x:v>
      </x:c>
      <x:c r="G8" s="129" t="inlineStr">
        <x:is>
          <x:t xml:space="preserve">Número de execuções de Monte Carlo</x:t>
        </x:is>
      </x:c>
    </x:row>
    <x:row r="9" ht="36" customHeight="1">
      <x:c r="A9" s="129" t="inlineStr">
        <x:is>
          <x:t xml:space="preserve">Semente_Aleatoria</x:t>
        </x:is>
      </x:c>
      <x:c r="B9" s="6">
        <x:v>42</x:v>
      </x:c>
      <x:c r="C9" s="130" t="inlineStr">
        <x:is>
          <x:t xml:space="preserve">Não</x:t>
        </x:is>
      </x:c>
      <x:c r="D9" s="130" t="inlineStr">
        <x:is>
          <x:t xml:space="preserve">Inteiro</x:t>
        </x:is>
      </x:c>
      <x:c r="E9" s="129" t="inlineStr">
        <x:is>
          <x:t xml:space="preserve">Inteiro, se preenchido</x:t>
        </x:is>
      </x:c>
      <x:c r="F9" s="13" t="s">
        <x:v>4</x:v>
      </x:c>
      <x:c r="G9" s="129" t="inlineStr">
        <x:is>
          <x:t xml:space="preserve">Reprodutibilidade / comparações controladas</x:t>
        </x:is>
      </x:c>
    </x:row>
    <x:row r="10" ht="51" customHeight="1">
      <x:c r="A10" s="129" t="inlineStr">
        <x:is>
          <x:t xml:space="preserve">Unidade_de_Tempo</x:t>
        </x:is>
      </x:c>
      <x:c r="B10" s="131" t="inlineStr">
        <x:is>
          <x:t xml:space="preserve">unidades de tempo do projeto</x:t>
        </x:is>
      </x:c>
      <x:c r="C10" s="130" t="inlineStr">
        <x:is>
          <x:t xml:space="preserve">Sim</x:t>
        </x:is>
      </x:c>
      <x:c r="D10" s="130" t="inlineStr">
        <x:is>
          <x:t xml:space="preserve">Texto</x:t>
        </x:is>
      </x:c>
      <x:c r="E10" s="129" t="inlineStr">
        <x:is>
          <x:t xml:space="preserve">Todas as durações e taxas utilizam esta unidade</x:t>
        </x:is>
      </x:c>
      <x:c r="F10" s="130" t="inlineStr">
        <x:is>
          <x:t xml:space="preserve">dias</x:t>
        </x:is>
      </x:c>
      <x:c r="G10" s="129" t="inlineStr">
        <x:is>
          <x:t xml:space="preserve">Interpretação da taxa de custo</x:t>
        </x:is>
      </x:c>
    </x:row>
    <x:row r="11" ht="36" customHeight="1">
      <x:c r="A11" s="129" t="inlineStr">
        <x:is>
          <x:t xml:space="preserve">Moeda</x:t>
        </x:is>
      </x:c>
      <x:c r="B11" s="131" t="inlineStr">
        <x:is>
          <x:t xml:space="preserve">unidades monetárias</x:t>
        </x:is>
      </x:c>
      <x:c r="C11" s="130" t="inlineStr">
        <x:is>
          <x:t xml:space="preserve">Sim</x:t>
        </x:is>
      </x:c>
      <x:c r="D11" s="130" t="inlineStr">
        <x:is>
          <x:t xml:space="preserve">Texto</x:t>
        </x:is>
      </x:c>
      <x:c r="E11" s="129" t="inlineStr">
        <x:is>
          <x:t xml:space="preserve">Utilizar uma única moeda consistentemente</x:t>
        </x:is>
      </x:c>
      <x:c r="F11" s="13" t="s">
        <x:v>5</x:v>
      </x:c>
      <x:c r="G11" s="129" t="inlineStr">
        <x:is>
          <x:t xml:space="preserve">Interpretação dos custos</x:t>
        </x:is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defaultRowHeight="15"/>
  <x:cols>
    <x:col min="1" max="1" width="11.625" style="9" customWidth="1"/>
    <x:col min="2" max="2" width="34" style="2" customWidth="1"/>
    <x:col min="3" max="3" width="22" style="2" customWidth="1"/>
    <x:col min="4" max="4" width="15.125" style="2" customWidth="1"/>
    <x:col min="5" max="6" width="14" style="9" customWidth="1"/>
    <x:col min="7" max="7" width="22.125" style="9" customWidth="1"/>
    <x:col min="8" max="11" width="14" style="9" customWidth="1"/>
    <x:col min="12" max="12" width="13" style="9" customWidth="1"/>
    <x:col min="13" max="13" width="15.75" style="9" customWidth="1"/>
    <x:col min="14" max="14" width="24" customWidth="1"/>
    <x:col min="15" max="15" width="24" customWidth="1"/>
    <x:col min="16" max="16" width="24" customWidth="1"/>
    <x:col min="17" max="17" width="24" customWidth="1"/>
    <x:col min="18" max="18" width="24" customWidth="1"/>
    <x:col min="19" max="19" width="24" customWidth="1"/>
    <x:col min="20" max="20" width="24" customWidth="1"/>
    <x:col min="21" max="16384" width="9" style="2" customWidth="0"/>
  </x:cols>
  <x:sheetData>
    <x:row r="1" s="1" customFormat="1" ht="26.25" customHeight="1">
      <x:c r="A1" s="53" t="inlineStr">
        <x:is>
          <x:t xml:space="preserve">2. Cadastro de atividades</x:t>
        </x:is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25"/>
      <x:c r="M1" s="25"/>
    </x:row>
    <x:row r="2" ht="65" customHeight="1">
      <x:c r="A2" s="78" t="inlineStr">
        <x:is>
          <x:t xml:space="preserve">ID_da_Atividade</x:t>
        </x:is>
      </x:c>
      <x:c r="B2" s="78" t="inlineStr">
        <x:is>
          <x:t xml:space="preserve">Nome_da_Atividade</x:t>
        </x:is>
      </x:c>
      <x:c r="C2" s="78" t="inlineStr">
        <x:is>
          <x:t xml:space="preserve">Predecessoras</x:t>
        </x:is>
      </x:c>
      <x:c r="D2" s="78" t="inlineStr">
        <x:is>
          <x:t xml:space="preserve">Modelo_de_Duracao</x:t>
        </x:is>
      </x:c>
      <x:c r="E2" s="78" t="inlineStr">
        <x:is>
          <x:t xml:space="preserve">Duracao_Fixa</x:t>
        </x:is>
      </x:c>
      <x:c r="F2" s="78" t="inlineStr">
        <x:is>
          <x:t xml:space="preserve">Duracao_Minima</x:t>
        </x:is>
      </x:c>
      <x:c r="G2" s="78" t="inlineStr">
        <x:is>
          <x:t xml:space="preserve">Duracao_Mais_Provavel</x:t>
        </x:is>
      </x:c>
      <x:c r="H2" s="78" t="inlineStr">
        <x:is>
          <x:t xml:space="preserve">Duracao_Maxima</x:t>
        </x:is>
      </x:c>
      <x:c r="I2" s="78" t="inlineStr">
        <x:is>
          <x:t xml:space="preserve">Duracao_Media</x:t>
        </x:is>
      </x:c>
      <x:c r="J2" s="78" t="inlineStr">
        <x:is>
          <x:t xml:space="preserve">Desvio_Padrao_da_Duracao</x:t>
        </x:is>
      </x:c>
      <x:c r="K2" s="78" t="inlineStr">
        <x:is>
          <x:t xml:space="preserve">Custo_Fixo</x:t>
        </x:is>
      </x:c>
      <x:c r="L2" s="78" t="inlineStr">
        <x:is>
          <x:t xml:space="preserve">Taxa_de_Custo</x:t>
        </x:is>
      </x:c>
      <x:c r="M2" s="78" t="inlineStr">
        <x:is>
          <x:t xml:space="preserve">Associacao_de_Custo</x:t>
        </x:is>
      </x:c>
      <x:c r="N2" s="146" t="inlineStr">
        <x:is>
          <x:t xml:space="preserve">Modelo_de_Custo</x:t>
        </x:is>
      </x:c>
      <x:c r="O2" s="147" t="inlineStr">
        <x:is>
          <x:t xml:space="preserve">Valor_Fixo_do_Modelo_de_Custo</x:t>
        </x:is>
      </x:c>
      <x:c r="P2" s="148" t="inlineStr">
        <x:is>
          <x:t xml:space="preserve">Custo_Minimo</x:t>
        </x:is>
      </x:c>
      <x:c r="Q2" s="149" t="inlineStr">
        <x:is>
          <x:t xml:space="preserve">Custo_Mais_Provavel</x:t>
        </x:is>
      </x:c>
      <x:c r="R2" s="150" t="inlineStr">
        <x:is>
          <x:t xml:space="preserve">Custo_Maximo</x:t>
        </x:is>
      </x:c>
      <x:c r="S2" s="151" t="inlineStr">
        <x:is>
          <x:t xml:space="preserve">Custo_Medio</x:t>
        </x:is>
      </x:c>
      <x:c r="T2" s="152" t="inlineStr">
        <x:is>
          <x:t xml:space="preserve">Desvio_Padrao_do_Custo</x:t>
        </x:is>
      </x:c>
    </x:row>
    <x:row r="3" ht="36" customHeight="1">
      <x:c r="A3" s="19" t="s">
        <x:v>6</x:v>
      </x:c>
      <x:c r="B3" s="131" t="inlineStr">
        <x:is>
          <x:t xml:space="preserve">Mobilização e instalação do canteiro</x:t>
        </x:is>
      </x:c>
      <x:c r="C3" s="6"/>
      <x:c r="D3" s="131" t="str">
        <x:v>Fixa</x:v>
      </x:c>
      <x:c r="E3" s="21" t="n">
        <x:v>5</x:v>
      </x:c>
      <x:c r="F3" s="21" t="n">
        <x:v>2</x:v>
      </x:c>
      <x:c r="G3" s="21" t="n">
        <x:v>4</x:v>
      </x:c>
      <x:c r="H3" s="21" t="n">
        <x:v>8</x:v>
      </x:c>
      <x:c r="I3" s="21" t="n">
        <x:v>5</x:v>
      </x:c>
      <x:c r="J3" s="21" t="n">
        <x:v>1.25</x:v>
      </x:c>
      <x:c r="K3" s="22" t="n">
        <x:f>Premissas_do_Caso!E3</x:f>
        <x:v>7800</x:v>
      </x:c>
      <x:c r="L3" s="26" t="n">
        <x:f>Premissas_do_Caso!F3</x:f>
        <x:v>840</x:v>
      </x:c>
      <x:c r="M3" s="132" t="inlineStr">
        <x:is>
          <x:t xml:space="preserve">Fixo + tempo</x:t>
        </x:is>
      </x:c>
      <x:c r="N3" s="131" t="str">
        <x:v>Fixa</x:v>
      </x:c>
      <x:c r="O3" s="21" t="n">
        <x:v>200</x:v>
      </x:c>
      <x:c r="P3" s="21" t="n">
        <x:v>80</x:v>
      </x:c>
      <x:c r="Q3" s="21" t="n">
        <x:v>160</x:v>
      </x:c>
      <x:c r="R3" s="21" t="n">
        <x:v>320</x:v>
      </x:c>
      <x:c r="S3" s="21" t="n">
        <x:v>200</x:v>
      </x:c>
      <x:c r="T3" s="21" t="n">
        <x:v>50</x:v>
      </x:c>
    </x:row>
    <x:row r="4" ht="36" customHeight="1">
      <x:c r="A4" s="19" t="s">
        <x:v>7</x:v>
      </x:c>
      <x:c r="B4" s="131" t="inlineStr">
        <x:is>
          <x:t xml:space="preserve">Levantamento e locação da obra</x:t>
        </x:is>
      </x:c>
      <x:c r="C4" s="6" t="s">
        <x:v>6</x:v>
      </x:c>
      <x:c r="D4" s="6" t="str">
        <x:v>Triangular</x:v>
      </x:c>
      <x:c r="E4" s="21" t="n">
        <x:v>5</x:v>
      </x:c>
      <x:c r="F4" s="21" t="n">
        <x:v>2</x:v>
      </x:c>
      <x:c r="G4" s="21" t="n">
        <x:v>4</x:v>
      </x:c>
      <x:c r="H4" s="21" t="n">
        <x:v>8</x:v>
      </x:c>
      <x:c r="I4" s="21" t="n">
        <x:v>5</x:v>
      </x:c>
      <x:c r="J4" s="21" t="n">
        <x:v>1.25</x:v>
      </x:c>
      <x:c r="K4" s="22" t="n">
        <x:f>Premissas_do_Caso!E4</x:f>
        <x:v>4000.01</x:v>
      </x:c>
      <x:c r="L4" s="26" t="n">
        <x:f>Premissas_do_Caso!F4</x:f>
        <x:v>857.14</x:v>
      </x:c>
      <x:c r="M4" s="132" t="inlineStr">
        <x:is>
          <x:t xml:space="preserve">Fixo + tempo</x:t>
        </x:is>
      </x:c>
      <x:c r="N4" s="6" t="str">
        <x:v>Triangular</x:v>
      </x:c>
      <x:c r="O4" s="21" t="n">
        <x:v>200</x:v>
      </x:c>
      <x:c r="P4" s="21" t="n">
        <x:v>80</x:v>
      </x:c>
      <x:c r="Q4" s="21" t="n">
        <x:v>160</x:v>
      </x:c>
      <x:c r="R4" s="21" t="n">
        <x:v>320</x:v>
      </x:c>
      <x:c r="S4" s="21" t="n">
        <x:v>200</x:v>
      </x:c>
      <x:c r="T4" s="21" t="n">
        <x:v>50</x:v>
      </x:c>
    </x:row>
    <x:row r="5" ht="36" customHeight="1">
      <x:c r="A5" s="19" t="s">
        <x:v>8</x:v>
      </x:c>
      <x:c r="B5" s="131" t="inlineStr">
        <x:is>
          <x:t xml:space="preserve">Limpeza do terreno e terraplenagem</x:t>
        </x:is>
      </x:c>
      <x:c r="C5" s="6" t="s">
        <x:v>7</x:v>
      </x:c>
      <x:c r="D5" s="6" t="str">
        <x:v>Beta-PERT</x:v>
      </x:c>
      <x:c r="E5" s="21" t="n">
        <x:v>5</x:v>
      </x:c>
      <x:c r="F5" s="21" t="n">
        <x:v>2</x:v>
      </x:c>
      <x:c r="G5" s="21" t="n">
        <x:v>4</x:v>
      </x:c>
      <x:c r="H5" s="21" t="n">
        <x:v>8</x:v>
      </x:c>
      <x:c r="I5" s="21" t="n">
        <x:v>5</x:v>
      </x:c>
      <x:c r="J5" s="21" t="n">
        <x:v>1.25</x:v>
      </x:c>
      <x:c r="K5" s="22" t="n">
        <x:f>Premissas_do_Caso!E5</x:f>
        <x:v>13750.02</x:v>
      </x:c>
      <x:c r="L5" s="26" t="n">
        <x:f>Premissas_do_Caso!F5</x:f>
        <x:v>2596.15</x:v>
      </x:c>
      <x:c r="M5" s="132" t="inlineStr">
        <x:is>
          <x:t xml:space="preserve">Fixo + tempo</x:t>
        </x:is>
      </x:c>
      <x:c r="N5" s="6" t="str">
        <x:v>Beta-PERT</x:v>
      </x:c>
      <x:c r="O5" s="21" t="n">
        <x:v>200</x:v>
      </x:c>
      <x:c r="P5" s="21" t="n">
        <x:v>80</x:v>
      </x:c>
      <x:c r="Q5" s="21" t="n">
        <x:v>160</x:v>
      </x:c>
      <x:c r="R5" s="21" t="n">
        <x:v>320</x:v>
      </x:c>
      <x:c r="S5" s="21" t="n">
        <x:v>200</x:v>
      </x:c>
      <x:c r="T5" s="21" t="n">
        <x:v>50</x:v>
      </x:c>
    </x:row>
    <x:row r="6" ht="21" customHeight="1">
      <x:c r="A6" s="19" t="s">
        <x:v>9</x:v>
      </x:c>
      <x:c r="B6" s="131" t="inlineStr">
        <x:is>
          <x:t xml:space="preserve">Escavação</x:t>
        </x:is>
      </x:c>
      <x:c r="C6" s="6" t="s">
        <x:v>8</x:v>
      </x:c>
      <x:c r="D6" s="6" t="str">
        <x:v>Uniforme</x:v>
      </x:c>
      <x:c r="E6" s="21" t="n">
        <x:v>5</x:v>
      </x:c>
      <x:c r="F6" s="21" t="n">
        <x:v>2</x:v>
      </x:c>
      <x:c r="G6" s="21" t="n">
        <x:v>4</x:v>
      </x:c>
      <x:c r="H6" s="21" t="n">
        <x:v>8</x:v>
      </x:c>
      <x:c r="I6" s="21" t="n">
        <x:v>5</x:v>
      </x:c>
      <x:c r="J6" s="21" t="n">
        <x:v>1.25</x:v>
      </x:c>
      <x:c r="K6" s="22" t="n">
        <x:f>Premissas_do_Caso!E6</x:f>
        <x:v>9000</x:v>
      </x:c>
      <x:c r="L6" s="26" t="n">
        <x:f>Premissas_do_Caso!F6</x:f>
        <x:v>1800</x:v>
      </x:c>
      <x:c r="M6" s="132" t="inlineStr">
        <x:is>
          <x:t xml:space="preserve">Fixo + tempo</x:t>
        </x:is>
      </x:c>
      <x:c r="N6" s="6" t="str">
        <x:v>Uniforme</x:v>
      </x:c>
      <x:c r="O6" s="21" t="n">
        <x:v>200</x:v>
      </x:c>
      <x:c r="P6" s="21" t="n">
        <x:v>80</x:v>
      </x:c>
      <x:c r="Q6" s="21" t="n">
        <x:v>160</x:v>
      </x:c>
      <x:c r="R6" s="21" t="n">
        <x:v>320</x:v>
      </x:c>
      <x:c r="S6" s="21" t="n">
        <x:v>200</x:v>
      </x:c>
      <x:c r="T6" s="21" t="n">
        <x:v>50</x:v>
      </x:c>
    </x:row>
    <x:row r="7" ht="21" customHeight="1">
      <x:c r="A7" s="19" t="s">
        <x:v>10</x:v>
      </x:c>
      <x:c r="B7" s="131" t="inlineStr">
        <x:is>
          <x:t xml:space="preserve">Fundações</x:t>
        </x:is>
      </x:c>
      <x:c r="C7" s="6" t="s">
        <x:v>9</x:v>
      </x:c>
      <x:c r="D7" s="131" t="str">
        <x:v>Normal</x:v>
      </x:c>
      <x:c r="E7" s="21" t="n">
        <x:v>5</x:v>
      </x:c>
      <x:c r="F7" s="21" t="n">
        <x:v>2</x:v>
      </x:c>
      <x:c r="G7" s="21" t="n">
        <x:v>4</x:v>
      </x:c>
      <x:c r="H7" s="21" t="n">
        <x:v>8</x:v>
      </x:c>
      <x:c r="I7" s="21" t="n">
        <x:v>5</x:v>
      </x:c>
      <x:c r="J7" s="21" t="n">
        <x:v>1.25</x:v>
      </x:c>
      <x:c r="K7" s="22" t="n">
        <x:f>Premissas_do_Caso!E7</x:f>
        <x:v>45500</x:v>
      </x:c>
      <x:c r="L7" s="26" t="n">
        <x:f>Premissas_do_Caso!F7</x:f>
        <x:v>3900</x:v>
      </x:c>
      <x:c r="M7" s="132" t="inlineStr">
        <x:is>
          <x:t xml:space="preserve">Fixo + tempo</x:t>
        </x:is>
      </x:c>
      <x:c r="N7" s="131" t="str">
        <x:v>Normal</x:v>
      </x:c>
      <x:c r="O7" s="21" t="n">
        <x:v>200</x:v>
      </x:c>
      <x:c r="P7" s="21" t="n">
        <x:v>80</x:v>
      </x:c>
      <x:c r="Q7" s="21" t="n">
        <x:v>160</x:v>
      </x:c>
      <x:c r="R7" s="21" t="n">
        <x:v>320</x:v>
      </x:c>
      <x:c r="S7" s="21" t="n">
        <x:v>200</x:v>
      </x:c>
      <x:c r="T7" s="21" t="n">
        <x:v>50</x:v>
      </x:c>
    </x:row>
    <x:row r="8" ht="21" customHeight="1">
      <x:c r="A8" s="19" t="s">
        <x:v>11</x:v>
      </x:c>
      <x:c r="B8" s="131" t="inlineStr">
        <x:is>
          <x:t xml:space="preserve">Laje do pavimento térreo</x:t>
        </x:is>
      </x:c>
      <x:c r="C8" s="6" t="s">
        <x:v>10</x:v>
      </x:c>
      <x:c r="D8" s="6" t="str">
        <x:v>Exponencial</x:v>
      </x:c>
      <x:c r="E8" s="21" t="n">
        <x:v>5</x:v>
      </x:c>
      <x:c r="F8" s="21" t="n">
        <x:v>2</x:v>
      </x:c>
      <x:c r="G8" s="21" t="n">
        <x:v>4</x:v>
      </x:c>
      <x:c r="H8" s="21" t="n">
        <x:v>8</x:v>
      </x:c>
      <x:c r="I8" s="21" t="n">
        <x:v>5</x:v>
      </x:c>
      <x:c r="J8" s="21" t="n">
        <x:v>1.25</x:v>
      </x:c>
      <x:c r="K8" s="22" t="n">
        <x:f>Premissas_do_Caso!E8</x:f>
        <x:v>26600</x:v>
      </x:c>
      <x:c r="L8" s="26" t="n">
        <x:f>Premissas_do_Caso!F8</x:f>
        <x:v>2280</x:v>
      </x:c>
      <x:c r="M8" s="132" t="inlineStr">
        <x:is>
          <x:t xml:space="preserve">Fixo + tempo</x:t>
        </x:is>
      </x:c>
      <x:c r="N8" s="6" t="str">
        <x:v>Exponencial</x:v>
      </x:c>
      <x:c r="O8" s="21" t="n">
        <x:v>200</x:v>
      </x:c>
      <x:c r="P8" s="21" t="n">
        <x:v>80</x:v>
      </x:c>
      <x:c r="Q8" s="21" t="n">
        <x:v>160</x:v>
      </x:c>
      <x:c r="R8" s="21" t="n">
        <x:v>320</x:v>
      </x:c>
      <x:c r="S8" s="21" t="n">
        <x:v>200</x:v>
      </x:c>
      <x:c r="T8" s="21" t="n">
        <x:v>50</x:v>
      </x:c>
    </x:row>
    <x:row r="9" ht="36" customHeight="1">
      <x:c r="A9" s="19" t="s">
        <x:v>12</x:v>
      </x:c>
      <x:c r="B9" s="131" t="inlineStr">
        <x:is>
          <x:t xml:space="preserve">Estrutura — pavimentos inferiores</x:t>
        </x:is>
      </x:c>
      <x:c r="C9" s="6" t="s">
        <x:v>11</x:v>
      </x:c>
      <x:c r="D9" s="6" t="str">
        <x:v>Lognormal</x:v>
      </x:c>
      <x:c r="E9" s="21" t="n">
        <x:v>5</x:v>
      </x:c>
      <x:c r="F9" s="21" t="n">
        <x:v>2</x:v>
      </x:c>
      <x:c r="G9" s="21" t="n">
        <x:v>4</x:v>
      </x:c>
      <x:c r="H9" s="21" t="n">
        <x:v>8</x:v>
      </x:c>
      <x:c r="I9" s="21" t="n">
        <x:v>5</x:v>
      </x:c>
      <x:c r="J9" s="21" t="n">
        <x:v>1.25</x:v>
      </x:c>
      <x:c r="K9" s="22" t="n">
        <x:f>Premissas_do_Caso!E9</x:f>
        <x:v>55250</x:v>
      </x:c>
      <x:c r="L9" s="26" t="n">
        <x:f>Premissas_do_Caso!F9</x:f>
        <x:v>5950</x:v>
      </x:c>
      <x:c r="M9" s="132" t="inlineStr">
        <x:is>
          <x:t xml:space="preserve">Fixo + tempo</x:t>
        </x:is>
      </x:c>
      <x:c r="N9" s="6" t="str">
        <x:v>Lognormal</x:v>
      </x:c>
      <x:c r="O9" s="21" t="n">
        <x:v>200</x:v>
      </x:c>
      <x:c r="P9" s="21" t="n">
        <x:v>80</x:v>
      </x:c>
      <x:c r="Q9" s="21" t="n">
        <x:v>160</x:v>
      </x:c>
      <x:c r="R9" s="21" t="n">
        <x:v>320</x:v>
      </x:c>
      <x:c r="S9" s="21" t="n">
        <x:v>200</x:v>
      </x:c>
      <x:c r="T9" s="21" t="n">
        <x:v>50</x:v>
      </x:c>
    </x:row>
    <x:row r="10" ht="36" customHeight="1">
      <x:c r="A10" s="19" t="s">
        <x:v>13</x:v>
      </x:c>
      <x:c r="B10" s="131" t="inlineStr">
        <x:is>
          <x:t xml:space="preserve">Estrutura — pavimentos superiores</x:t>
        </x:is>
      </x:c>
      <x:c r="C10" s="6" t="s">
        <x:v>12</x:v>
      </x:c>
      <x:c r="D10" s="6" t="str">
        <x:v>Gama</x:v>
      </x:c>
      <x:c r="E10" s="21" t="n">
        <x:v>5</x:v>
      </x:c>
      <x:c r="F10" s="21" t="n">
        <x:v>2</x:v>
      </x:c>
      <x:c r="G10" s="21" t="n">
        <x:v>4</x:v>
      </x:c>
      <x:c r="H10" s="21" t="n">
        <x:v>8</x:v>
      </x:c>
      <x:c r="I10" s="21" t="n">
        <x:v>5</x:v>
      </x:c>
      <x:c r="J10" s="21" t="n">
        <x:v>1.25</x:v>
      </x:c>
      <x:c r="K10" s="22" t="n">
        <x:f>Premissas_do_Caso!E10</x:f>
        <x:v>53300</x:v>
      </x:c>
      <x:c r="L10" s="26" t="n">
        <x:f>Premissas_do_Caso!F10</x:f>
        <x:v>5740</x:v>
      </x:c>
      <x:c r="M10" s="132" t="inlineStr">
        <x:is>
          <x:t xml:space="preserve">Fixo + tempo</x:t>
        </x:is>
      </x:c>
      <x:c r="N10" s="6" t="str">
        <x:v>Gama</x:v>
      </x:c>
      <x:c r="O10" s="21" t="n">
        <x:v>200</x:v>
      </x:c>
      <x:c r="P10" s="21" t="n">
        <x:v>80</x:v>
      </x:c>
      <x:c r="Q10" s="21" t="n">
        <x:v>160</x:v>
      </x:c>
      <x:c r="R10" s="21" t="n">
        <x:v>320</x:v>
      </x:c>
      <x:c r="S10" s="21" t="n">
        <x:v>200</x:v>
      </x:c>
      <x:c r="T10" s="21" t="n">
        <x:v>50</x:v>
      </x:c>
    </x:row>
    <x:row r="11" ht="36" customHeight="1">
      <x:c r="A11" s="19" t="s">
        <x:v>14</x:v>
      </x:c>
      <x:c r="B11" s="131" t="inlineStr">
        <x:is>
          <x:t xml:space="preserve">Estrutura e cobertura do telhado</x:t>
        </x:is>
      </x:c>
      <x:c r="C11" s="6" t="s">
        <x:v>13</x:v>
      </x:c>
      <x:c r="D11" s="131" t="inlineStr">
        <x:is>
          <x:t xml:space="preserve">Fixa</x:t>
        </x:is>
      </x:c>
      <x:c r="E11" s="21">
        <x:v>7</x:v>
      </x:c>
      <x:c r="F11" s="21"/>
      <x:c r="G11" s="21"/>
      <x:c r="H11" s="21"/>
      <x:c r="I11" s="21"/>
      <x:c r="J11" s="21"/>
      <x:c r="K11" s="22" t="n">
        <x:f>Premissas_do_Caso!E11</x:f>
        <x:v>31500</x:v>
      </x:c>
      <x:c r="L11" s="26" t="n">
        <x:f>Premissas_do_Caso!F11</x:f>
        <x:v>1500</x:v>
      </x:c>
      <x:c r="M11" s="132" t="inlineStr">
        <x:is>
          <x:t xml:space="preserve">Fixo + tempo</x:t>
        </x:is>
      </x:c>
      <x:c r="N11" s="131"/>
      <x:c r="O11" s="21"/>
      <x:c r="P11" s="21"/>
      <x:c r="Q11" s="21"/>
      <x:c r="R11" s="21"/>
      <x:c r="S11" s="21"/>
      <x:c r="T11" s="21"/>
    </x:row>
    <x:row r="12" ht="36" customHeight="1">
      <x:c r="A12" s="19" t="s">
        <x:v>15</x:v>
      </x:c>
      <x:c r="B12" s="131" t="inlineStr">
        <x:is>
          <x:t xml:space="preserve">Alvenaria externa e vedações</x:t>
        </x:is>
      </x:c>
      <x:c r="C12" s="6" t="s">
        <x:v>13</x:v>
      </x:c>
      <x:c r="D12" s="6" t="s">
        <x:v>16</x:v>
      </x:c>
      <x:c r="E12" s="21"/>
      <x:c r="F12" s="21">
        <x:v>7</x:v>
      </x:c>
      <x:c r="G12" s="21">
        <x:v>10</x:v>
      </x:c>
      <x:c r="H12" s="21">
        <x:v>15</x:v>
      </x:c>
      <x:c r="I12" s="21"/>
      <x:c r="J12" s="21"/>
      <x:c r="K12" s="22" t="n">
        <x:f>Premissas_do_Caso!E12</x:f>
        <x:v>30000</x:v>
      </x:c>
      <x:c r="L12" s="26" t="n">
        <x:f>Premissas_do_Caso!F12</x:f>
        <x:v>1875</x:v>
      </x:c>
      <x:c r="M12" s="132" t="inlineStr">
        <x:is>
          <x:t xml:space="preserve">Fixo + tempo</x:t>
        </x:is>
      </x:c>
      <x:c r="N12" s="6"/>
      <x:c r="O12" s="21"/>
      <x:c r="P12" s="21"/>
      <x:c r="Q12" s="21"/>
      <x:c r="R12" s="21"/>
      <x:c r="S12" s="21"/>
      <x:c r="T12" s="21"/>
    </x:row>
    <x:row r="13" ht="21" customHeight="1">
      <x:c r="A13" s="19" t="s">
        <x:v>17</x:v>
      </x:c>
      <x:c r="B13" s="131" t="inlineStr">
        <x:is>
          <x:t xml:space="preserve">Divisórias internas</x:t>
        </x:is>
      </x:c>
      <x:c r="C13" s="6" t="s">
        <x:v>13</x:v>
      </x:c>
      <x:c r="D13" s="6" t="s">
        <x:v>18</x:v>
      </x:c>
      <x:c r="E13" s="21"/>
      <x:c r="F13" s="21">
        <x:v>6</x:v>
      </x:c>
      <x:c r="G13" s="21">
        <x:v>8</x:v>
      </x:c>
      <x:c r="H13" s="21">
        <x:v>12</x:v>
      </x:c>
      <x:c r="I13" s="21"/>
      <x:c r="J13" s="21"/>
      <x:c r="K13" s="22" t="n">
        <x:f>Premissas_do_Caso!E13</x:f>
        <x:v>17600</x:v>
      </x:c>
      <x:c r="L13" s="26" t="n">
        <x:f>Premissas_do_Caso!F13</x:f>
        <x:v>1728</x:v>
      </x:c>
      <x:c r="M13" s="132" t="inlineStr">
        <x:is>
          <x:t xml:space="preserve">Fixo + tempo</x:t>
        </x:is>
      </x:c>
      <x:c r="N13" s="6"/>
      <x:c r="O13" s="21"/>
      <x:c r="P13" s="21"/>
      <x:c r="Q13" s="21"/>
      <x:c r="R13" s="21"/>
      <x:c r="S13" s="21"/>
      <x:c r="T13" s="21"/>
    </x:row>
    <x:row r="14" ht="21" customHeight="1">
      <x:c r="A14" s="19" t="s">
        <x:v>19</x:v>
      </x:c>
      <x:c r="B14" s="131" t="inlineStr">
        <x:is>
          <x:t xml:space="preserve">Infraestrutura elétrica</x:t>
        </x:is>
      </x:c>
      <x:c r="C14" s="6" t="s">
        <x:v>20</x:v>
      </x:c>
      <x:c r="D14" s="6" t="s">
        <x:v>21</x:v>
      </x:c>
      <x:c r="E14" s="21"/>
      <x:c r="F14" s="21"/>
      <x:c r="G14" s="21"/>
      <x:c r="H14" s="21"/>
      <x:c r="I14" s="21">
        <x:v>8</x:v>
      </x:c>
      <x:c r="J14" s="21">
        <x:v>1.5</x:v>
      </x:c>
      <x:c r="K14" s="22" t="n">
        <x:f>Premissas_do_Caso!E14</x:f>
        <x:v>21000</x:v>
      </x:c>
      <x:c r="L14" s="26" t="n">
        <x:f>Premissas_do_Caso!F14</x:f>
        <x:v>1750</x:v>
      </x:c>
      <x:c r="M14" s="132" t="inlineStr">
        <x:is>
          <x:t xml:space="preserve">Fixo + tempo</x:t>
        </x:is>
      </x:c>
      <x:c r="N14" s="6"/>
      <x:c r="O14" s="21"/>
      <x:c r="P14" s="21"/>
      <x:c r="Q14" s="21"/>
      <x:c r="R14" s="21"/>
      <x:c r="S14" s="21"/>
      <x:c r="T14" s="21"/>
    </x:row>
    <x:row r="15" ht="36" customHeight="1">
      <x:c r="A15" s="19" t="s">
        <x:v>22</x:v>
      </x:c>
      <x:c r="B15" s="131" t="inlineStr">
        <x:is>
          <x:t xml:space="preserve">Infraestrutura hidrossanitária</x:t>
        </x:is>
      </x:c>
      <x:c r="C15" s="6" t="s">
        <x:v>20</x:v>
      </x:c>
      <x:c r="D15" s="131" t="inlineStr">
        <x:is>
          <x:t xml:space="preserve">Fixa</x:t>
        </x:is>
      </x:c>
      <x:c r="E15" s="21">
        <x:v>8</x:v>
      </x:c>
      <x:c r="F15" s="21"/>
      <x:c r="G15" s="21"/>
      <x:c r="H15" s="21"/>
      <x:c r="I15" s="21"/>
      <x:c r="J15" s="21"/>
      <x:c r="K15" s="22" t="n">
        <x:f>Premissas_do_Caso!E15</x:f>
        <x:v>21600</x:v>
      </x:c>
      <x:c r="L15" s="26" t="n">
        <x:f>Premissas_do_Caso!F15</x:f>
        <x:v>1800</x:v>
      </x:c>
      <x:c r="M15" s="132" t="inlineStr">
        <x:is>
          <x:t xml:space="preserve">Fixo + tempo</x:t>
        </x:is>
      </x:c>
      <x:c r="N15" s="131"/>
      <x:c r="O15" s="21"/>
      <x:c r="P15" s="21"/>
      <x:c r="Q15" s="21"/>
      <x:c r="R15" s="21"/>
      <x:c r="S15" s="21"/>
      <x:c r="T15" s="21"/>
    </x:row>
    <x:row r="16" ht="36" customHeight="1">
      <x:c r="A16" s="19" t="s">
        <x:v>23</x:v>
      </x:c>
      <x:c r="B16" s="131" t="inlineStr">
        <x:is>
          <x:t xml:space="preserve">Infraestrutura de climatização / ventilação</x:t>
        </x:is>
      </x:c>
      <x:c r="C16" s="6" t="s">
        <x:v>20</x:v>
      </x:c>
      <x:c r="D16" s="6" t="s">
        <x:v>16</x:v>
      </x:c>
      <x:c r="E16" s="21"/>
      <x:c r="F16" s="21">
        <x:v>4</x:v>
      </x:c>
      <x:c r="G16" s="21">
        <x:v>6</x:v>
      </x:c>
      <x:c r="H16" s="21">
        <x:v>10</x:v>
      </x:c>
      <x:c r="I16" s="21"/>
      <x:c r="J16" s="21"/>
      <x:c r="K16" s="22" t="n">
        <x:f>Premissas_do_Caso!E16</x:f>
        <x:v>18200</x:v>
      </x:c>
      <x:c r="L16" s="26" t="n">
        <x:f>Premissas_do_Caso!F16</x:f>
        <x:v>1470</x:v>
      </x:c>
      <x:c r="M16" s="132" t="inlineStr">
        <x:is>
          <x:t xml:space="preserve">Fixo + tempo</x:t>
        </x:is>
      </x:c>
      <x:c r="N16" s="6"/>
      <x:c r="O16" s="21"/>
      <x:c r="P16" s="21"/>
      <x:c r="Q16" s="21"/>
      <x:c r="R16" s="21"/>
      <x:c r="S16" s="21"/>
      <x:c r="T16" s="21"/>
    </x:row>
    <x:row r="17" ht="21" customHeight="1">
      <x:c r="A17" s="19" t="s">
        <x:v>24</x:v>
      </x:c>
      <x:c r="B17" s="131" t="inlineStr">
        <x:is>
          <x:t xml:space="preserve">Portas e janelas externas</x:t>
        </x:is>
      </x:c>
      <x:c r="C17" s="6" t="s">
        <x:v>25</x:v>
      </x:c>
      <x:c r="D17" s="6" t="s">
        <x:v>18</x:v>
      </x:c>
      <x:c r="E17" s="21"/>
      <x:c r="F17" s="21">
        <x:v>4</x:v>
      </x:c>
      <x:c r="G17" s="21">
        <x:v>6</x:v>
      </x:c>
      <x:c r="H17" s="21">
        <x:v>10</x:v>
      </x:c>
      <x:c r="I17" s="21"/>
      <x:c r="J17" s="21"/>
      <x:c r="K17" s="22" t="n">
        <x:f>Premissas_do_Caso!E17</x:f>
        <x:v>45000</x:v>
      </x:c>
      <x:c r="L17" s="26" t="n">
        <x:f>Premissas_do_Caso!F17</x:f>
        <x:v>0</x:v>
      </x:c>
      <x:c r="M17" s="132" t="inlineStr">
        <x:is>
          <x:t xml:space="preserve">Apenas fixo</x:t>
        </x:is>
      </x:c>
      <x:c r="N17" s="6"/>
      <x:c r="O17" s="21"/>
      <x:c r="P17" s="21"/>
      <x:c r="Q17" s="21"/>
      <x:c r="R17" s="21"/>
      <x:c r="S17" s="21"/>
      <x:c r="T17" s="21"/>
    </x:row>
    <x:row r="18" ht="21" customHeight="1">
      <x:c r="A18" s="19" t="s">
        <x:v>26</x:v>
      </x:c>
      <x:c r="B18" s="131" t="inlineStr">
        <x:is>
          <x:t xml:space="preserve">Impermeabilização</x:t>
        </x:is>
      </x:c>
      <x:c r="C18" s="6" t="s">
        <x:v>27</x:v>
      </x:c>
      <x:c r="D18" s="6" t="s">
        <x:v>21</x:v>
      </x:c>
      <x:c r="E18" s="21"/>
      <x:c r="F18" s="21"/>
      <x:c r="G18" s="21"/>
      <x:c r="H18" s="21"/>
      <x:c r="I18" s="21">
        <x:v>5</x:v>
      </x:c>
      <x:c r="J18" s="21">
        <x:v>1</x:v>
      </x:c>
      <x:c r="K18" s="22" t="n">
        <x:f>Premissas_do_Caso!E18</x:f>
        <x:v>15400</x:v>
      </x:c>
      <x:c r="L18" s="26" t="n">
        <x:f>Premissas_do_Caso!F18</x:f>
        <x:v>1320</x:v>
      </x:c>
      <x:c r="M18" s="132" t="inlineStr">
        <x:is>
          <x:t xml:space="preserve">Fixo + tempo</x:t>
        </x:is>
      </x:c>
      <x:c r="N18" s="6"/>
      <x:c r="O18" s="21"/>
      <x:c r="P18" s="21"/>
      <x:c r="Q18" s="21"/>
      <x:c r="R18" s="21"/>
      <x:c r="S18" s="21"/>
      <x:c r="T18" s="21"/>
    </x:row>
    <x:row r="19" ht="36" customHeight="1">
      <x:c r="A19" s="19" t="s">
        <x:v>28</x:v>
      </x:c>
      <x:c r="B19" s="131" t="inlineStr">
        <x:is>
          <x:t xml:space="preserve">Revestimento interno de paredes</x:t>
        </x:is>
      </x:c>
      <x:c r="C19" s="6" t="s">
        <x:v>29</x:v>
      </x:c>
      <x:c r="D19" s="131" t="inlineStr">
        <x:is>
          <x:t xml:space="preserve">Fixa</x:t>
        </x:is>
      </x:c>
      <x:c r="E19" s="21">
        <x:v>9</x:v>
      </x:c>
      <x:c r="F19" s="21"/>
      <x:c r="G19" s="21"/>
      <x:c r="H19" s="21"/>
      <x:c r="I19" s="21"/>
      <x:c r="J19" s="21"/>
      <x:c r="K19" s="22" t="n">
        <x:f>Premissas_do_Caso!E19</x:f>
        <x:v>22000</x:v>
      </x:c>
      <x:c r="L19" s="26" t="n">
        <x:f>Premissas_do_Caso!F19</x:f>
        <x:v>2000</x:v>
      </x:c>
      <x:c r="M19" s="132" t="inlineStr">
        <x:is>
          <x:t xml:space="preserve">Fixo + tempo</x:t>
        </x:is>
      </x:c>
      <x:c r="N19" s="131"/>
      <x:c r="O19" s="21"/>
      <x:c r="P19" s="21"/>
      <x:c r="Q19" s="21"/>
      <x:c r="R19" s="21"/>
      <x:c r="S19" s="21"/>
      <x:c r="T19" s="21"/>
    </x:row>
    <x:row r="20" ht="36" customHeight="1">
      <x:c r="A20" s="19" t="s">
        <x:v>30</x:v>
      </x:c>
      <x:c r="B20" s="131" t="inlineStr">
        <x:is>
          <x:t xml:space="preserve">Revestimento externo / fachada</x:t>
        </x:is>
      </x:c>
      <x:c r="C20" s="6" t="s">
        <x:v>24</x:v>
      </x:c>
      <x:c r="D20" s="6" t="s">
        <x:v>16</x:v>
      </x:c>
      <x:c r="E20" s="21"/>
      <x:c r="F20" s="21">
        <x:v>6</x:v>
      </x:c>
      <x:c r="G20" s="21">
        <x:v>9</x:v>
      </x:c>
      <x:c r="H20" s="21">
        <x:v>14</x:v>
      </x:c>
      <x:c r="I20" s="21"/>
      <x:c r="J20" s="21"/>
      <x:c r="K20" s="22" t="n">
        <x:f>Premissas_do_Caso!E20</x:f>
        <x:v>28799.97</x:v>
      </x:c>
      <x:c r="L20" s="26" t="n">
        <x:f>Premissas_do_Caso!F20</x:f>
        <x:v>1986.21</x:v>
      </x:c>
      <x:c r="M20" s="132" t="inlineStr">
        <x:is>
          <x:t xml:space="preserve">Fixo + tempo</x:t>
        </x:is>
      </x:c>
      <x:c r="N20" s="6"/>
      <x:c r="O20" s="21"/>
      <x:c r="P20" s="21"/>
      <x:c r="Q20" s="21"/>
      <x:c r="R20" s="21"/>
      <x:c r="S20" s="21"/>
      <x:c r="T20" s="21"/>
    </x:row>
    <x:row r="21" ht="36" customHeight="1">
      <x:c r="A21" s="19" t="s">
        <x:v>31</x:v>
      </x:c>
      <x:c r="B21" s="131" t="inlineStr">
        <x:is>
          <x:t xml:space="preserve">Contrapiso e assentamento de pisos</x:t>
        </x:is>
      </x:c>
      <x:c r="C21" s="6" t="s">
        <x:v>32</x:v>
      </x:c>
      <x:c r="D21" s="6" t="s">
        <x:v>18</x:v>
      </x:c>
      <x:c r="E21" s="21"/>
      <x:c r="F21" s="21">
        <x:v>6</x:v>
      </x:c>
      <x:c r="G21" s="21">
        <x:v>9</x:v>
      </x:c>
      <x:c r="H21" s="21">
        <x:v>13</x:v>
      </x:c>
      <x:c r="I21" s="21"/>
      <x:c r="J21" s="21"/>
      <x:c r="K21" s="22" t="n">
        <x:f>Premissas_do_Caso!E21</x:f>
        <x:v>33800.04</x:v>
      </x:c>
      <x:c r="L21" s="26" t="n">
        <x:f>Premissas_do_Caso!F21</x:f>
        <x:v>1985.45</x:v>
      </x:c>
      <x:c r="M21" s="132" t="inlineStr">
        <x:is>
          <x:t xml:space="preserve">Fixo + tempo</x:t>
        </x:is>
      </x:c>
      <x:c r="N21" s="6"/>
      <x:c r="O21" s="21"/>
      <x:c r="P21" s="21"/>
      <x:c r="Q21" s="21"/>
      <x:c r="R21" s="21"/>
      <x:c r="S21" s="21"/>
      <x:c r="T21" s="21"/>
    </x:row>
    <x:row r="22" ht="21" customHeight="1">
      <x:c r="A22" s="19" t="s">
        <x:v>33</x:v>
      </x:c>
      <x:c r="B22" s="131" t="inlineStr">
        <x:is>
          <x:t xml:space="preserve">Forros</x:t>
        </x:is>
      </x:c>
      <x:c r="C22" s="6" t="s">
        <x:v>28</x:v>
      </x:c>
      <x:c r="D22" s="6" t="s">
        <x:v>21</x:v>
      </x:c>
      <x:c r="E22" s="21"/>
      <x:c r="F22" s="21"/>
      <x:c r="G22" s="21"/>
      <x:c r="H22" s="21"/>
      <x:c r="I22" s="21">
        <x:v>6</x:v>
      </x:c>
      <x:c r="J22" s="21">
        <x:v>1</x:v>
      </x:c>
      <x:c r="K22" s="22" t="n">
        <x:f>Premissas_do_Caso!E22</x:f>
        <x:v>14300</x:v>
      </x:c>
      <x:c r="L22" s="26" t="n">
        <x:f>Premissas_do_Caso!F22</x:f>
        <x:v>1950</x:v>
      </x:c>
      <x:c r="M22" s="132" t="inlineStr">
        <x:is>
          <x:t xml:space="preserve">Fixo + tempo</x:t>
        </x:is>
      </x:c>
      <x:c r="N22" s="6"/>
      <x:c r="O22" s="21"/>
      <x:c r="P22" s="21"/>
      <x:c r="Q22" s="21"/>
      <x:c r="R22" s="21"/>
      <x:c r="S22" s="21"/>
      <x:c r="T22" s="21"/>
    </x:row>
    <x:row r="23" ht="21" customHeight="1">
      <x:c r="A23" s="19" t="s">
        <x:v>34</x:v>
      </x:c>
      <x:c r="B23" s="131" t="inlineStr">
        <x:is>
          <x:t xml:space="preserve">Pintura</x:t>
        </x:is>
      </x:c>
      <x:c r="C23" s="6" t="s">
        <x:v>35</x:v>
      </x:c>
      <x:c r="D23" s="131" t="inlineStr">
        <x:is>
          <x:t xml:space="preserve">Fixa</x:t>
        </x:is>
      </x:c>
      <x:c r="E23" s="21">
        <x:v>9</x:v>
      </x:c>
      <x:c r="F23" s="21"/>
      <x:c r="G23" s="21"/>
      <x:c r="H23" s="21"/>
      <x:c r="I23" s="21"/>
      <x:c r="J23" s="21"/>
      <x:c r="K23" s="22" t="n">
        <x:f>Premissas_do_Caso!E23</x:f>
        <x:v>19000.01</x:v>
      </x:c>
      <x:c r="L23" s="26" t="n">
        <x:f>Premissas_do_Caso!F23</x:f>
        <x:v>2111.11</x:v>
      </x:c>
      <x:c r="M23" s="132" t="inlineStr">
        <x:is>
          <x:t xml:space="preserve">Fixo + tempo</x:t>
        </x:is>
      </x:c>
      <x:c r="N23" s="131"/>
      <x:c r="O23" s="21"/>
      <x:c r="P23" s="21"/>
      <x:c r="Q23" s="21"/>
      <x:c r="R23" s="21"/>
      <x:c r="S23" s="21"/>
      <x:c r="T23" s="21"/>
    </x:row>
    <x:row r="24" ht="36" customHeight="1">
      <x:c r="A24" s="19" t="s">
        <x:v>36</x:v>
      </x:c>
      <x:c r="B24" s="131" t="inlineStr">
        <x:is>
          <x:t xml:space="preserve">Dispositivos elétricos e conexões finais</x:t>
        </x:is>
      </x:c>
      <x:c r="C24" s="6" t="s">
        <x:v>37</x:v>
      </x:c>
      <x:c r="D24" s="6" t="s">
        <x:v>16</x:v>
      </x:c>
      <x:c r="E24" s="21"/>
      <x:c r="F24" s="21">
        <x:v>4</x:v>
      </x:c>
      <x:c r="G24" s="21">
        <x:v>6</x:v>
      </x:c>
      <x:c r="H24" s="21">
        <x:v>9</x:v>
      </x:c>
      <x:c r="I24" s="21"/>
      <x:c r="J24" s="21"/>
      <x:c r="K24" s="22" t="n">
        <x:f>Premissas_do_Caso!E24</x:f>
        <x:v>30000</x:v>
      </x:c>
      <x:c r="L24" s="26" t="n">
        <x:f>Premissas_do_Caso!F24</x:f>
        <x:v>0</x:v>
      </x:c>
      <x:c r="M24" s="132" t="inlineStr">
        <x:is>
          <x:t xml:space="preserve">Apenas fixo</x:t>
        </x:is>
      </x:c>
      <x:c r="N24" s="6"/>
      <x:c r="O24" s="21"/>
      <x:c r="P24" s="21"/>
      <x:c r="Q24" s="21"/>
      <x:c r="R24" s="21"/>
      <x:c r="S24" s="21"/>
      <x:c r="T24" s="21"/>
    </x:row>
    <x:row r="25" ht="36" customHeight="1">
      <x:c r="A25" s="19" t="s">
        <x:v>38</x:v>
      </x:c>
      <x:c r="B25" s="131" t="inlineStr">
        <x:is>
          <x:t xml:space="preserve">Louças, metais e instalações sanitárias finais</x:t>
        </x:is>
      </x:c>
      <x:c r="C25" s="6" t="s">
        <x:v>31</x:v>
      </x:c>
      <x:c r="D25" s="6" t="s">
        <x:v>18</x:v>
      </x:c>
      <x:c r="E25" s="21"/>
      <x:c r="F25" s="21">
        <x:v>4</x:v>
      </x:c>
      <x:c r="G25" s="21">
        <x:v>6</x:v>
      </x:c>
      <x:c r="H25" s="21">
        <x:v>9</x:v>
      </x:c>
      <x:c r="I25" s="21"/>
      <x:c r="J25" s="21"/>
      <x:c r="K25" s="22" t="n">
        <x:f>Premissas_do_Caso!E25</x:f>
        <x:v>32000</x:v>
      </x:c>
      <x:c r="L25" s="26" t="n">
        <x:f>Premissas_do_Caso!F25</x:f>
        <x:v>0</x:v>
      </x:c>
      <x:c r="M25" s="132" t="inlineStr">
        <x:is>
          <x:t xml:space="preserve">Apenas fixo</x:t>
        </x:is>
      </x:c>
      <x:c r="N25" s="6"/>
      <x:c r="O25" s="21"/>
      <x:c r="P25" s="21"/>
      <x:c r="Q25" s="21"/>
      <x:c r="R25" s="21"/>
      <x:c r="S25" s="21"/>
      <x:c r="T25" s="21"/>
    </x:row>
    <x:row r="26" ht="21" customHeight="1">
      <x:c r="A26" s="19" t="s">
        <x:v>39</x:v>
      </x:c>
      <x:c r="B26" s="131" t="inlineStr">
        <x:is>
          <x:t xml:space="preserve">Marcenaria e armários</x:t>
        </x:is>
      </x:c>
      <x:c r="C26" s="6" t="s">
        <x:v>40</x:v>
      </x:c>
      <x:c r="D26" s="6" t="s">
        <x:v>21</x:v>
      </x:c>
      <x:c r="E26" s="21"/>
      <x:c r="F26" s="21"/>
      <x:c r="G26" s="21"/>
      <x:c r="H26" s="21"/>
      <x:c r="I26" s="21">
        <x:v>8</x:v>
      </x:c>
      <x:c r="J26" s="21">
        <x:v>1.5</x:v>
      </x:c>
      <x:c r="K26" s="22" t="n">
        <x:f>Premissas_do_Caso!E26</x:f>
        <x:v>42000</x:v>
      </x:c>
      <x:c r="L26" s="26" t="n">
        <x:f>Premissas_do_Caso!F26</x:f>
        <x:v>0</x:v>
      </x:c>
      <x:c r="M26" s="132" t="inlineStr">
        <x:is>
          <x:t xml:space="preserve">Apenas fixo</x:t>
        </x:is>
      </x:c>
      <x:c r="N26" s="6"/>
      <x:c r="O26" s="21"/>
      <x:c r="P26" s="21"/>
      <x:c r="Q26" s="21"/>
      <x:c r="R26" s="21"/>
      <x:c r="S26" s="21"/>
      <x:c r="T26" s="21"/>
    </x:row>
    <x:row r="27" ht="21" customHeight="1">
      <x:c r="A27" s="19" t="s">
        <x:v>41</x:v>
      </x:c>
      <x:c r="B27" s="131" t="inlineStr">
        <x:is>
          <x:t xml:space="preserve">Obras externas e drenagem</x:t>
        </x:is>
      </x:c>
      <x:c r="C27" s="6" t="s">
        <x:v>14</x:v>
      </x:c>
      <x:c r="D27" s="131" t="inlineStr">
        <x:is>
          <x:t xml:space="preserve">Fixa</x:t>
        </x:is>
      </x:c>
      <x:c r="E27" s="21">
        <x:v>9</x:v>
      </x:c>
      <x:c r="F27" s="21"/>
      <x:c r="G27" s="21"/>
      <x:c r="H27" s="21"/>
      <x:c r="I27" s="21"/>
      <x:c r="J27" s="21"/>
      <x:c r="K27" s="22" t="n">
        <x:f>Premissas_do_Caso!E27</x:f>
        <x:v>33000.04</x:v>
      </x:c>
      <x:c r="L27" s="26" t="n">
        <x:f>Premissas_do_Caso!F27</x:f>
        <x:v>2444.44</x:v>
      </x:c>
      <x:c r="M27" s="132" t="inlineStr">
        <x:is>
          <x:t xml:space="preserve">Fixo + tempo</x:t>
        </x:is>
      </x:c>
      <x:c r="N27" s="131"/>
      <x:c r="O27" s="21"/>
      <x:c r="P27" s="21"/>
      <x:c r="Q27" s="21"/>
      <x:c r="R27" s="21"/>
      <x:c r="S27" s="21"/>
      <x:c r="T27" s="21"/>
    </x:row>
    <x:row r="28" ht="21" customHeight="1">
      <x:c r="A28" s="19" t="s">
        <x:v>42</x:v>
      </x:c>
      <x:c r="B28" s="131" t="inlineStr">
        <x:is>
          <x:t xml:space="preserve">Paisagismo</x:t>
        </x:is>
      </x:c>
      <x:c r="C28" s="6" t="s">
        <x:v>41</x:v>
      </x:c>
      <x:c r="D28" s="6" t="s">
        <x:v>16</x:v>
      </x:c>
      <x:c r="E28" s="21"/>
      <x:c r="F28" s="21">
        <x:v>3</x:v>
      </x:c>
      <x:c r="G28" s="21">
        <x:v>5</x:v>
      </x:c>
      <x:c r="H28" s="21">
        <x:v>8</x:v>
      </x:c>
      <x:c r="I28" s="21"/>
      <x:c r="J28" s="21"/>
      <x:c r="K28" s="22" t="n">
        <x:f>Premissas_do_Caso!E28</x:f>
        <x:v>9900</x:v>
      </x:c>
      <x:c r="L28" s="26" t="n">
        <x:f>Premissas_do_Caso!F28</x:f>
        <x:v>1518.75</x:v>
      </x:c>
      <x:c r="M28" s="132" t="inlineStr">
        <x:is>
          <x:t xml:space="preserve">Fixo + tempo</x:t>
        </x:is>
      </x:c>
      <x:c r="N28" s="6"/>
      <x:c r="O28" s="21"/>
      <x:c r="P28" s="21"/>
      <x:c r="Q28" s="21"/>
      <x:c r="R28" s="21"/>
      <x:c r="S28" s="21"/>
      <x:c r="T28" s="21"/>
    </x:row>
    <x:row r="29" ht="21" customHeight="1">
      <x:c r="A29" s="19" t="s">
        <x:v>43</x:v>
      </x:c>
      <x:c r="B29" s="131" t="inlineStr">
        <x:is>
          <x:t xml:space="preserve">Testes e comissionamento</x:t>
        </x:is>
      </x:c>
      <x:c r="C29" s="6" t="s">
        <x:v>44</x:v>
      </x:c>
      <x:c r="D29" s="6" t="s">
        <x:v>18</x:v>
      </x:c>
      <x:c r="E29" s="21"/>
      <x:c r="F29" s="21">
        <x:v>4</x:v>
      </x:c>
      <x:c r="G29" s="21">
        <x:v>6</x:v>
      </x:c>
      <x:c r="H29" s="21">
        <x:v>10</x:v>
      </x:c>
      <x:c r="I29" s="21"/>
      <x:c r="J29" s="21"/>
      <x:c r="K29" s="22" t="n">
        <x:f>Premissas_do_Caso!E29</x:f>
        <x:v>7999.98</x:v>
      </x:c>
      <x:c r="L29" s="26" t="n">
        <x:f>Premissas_do_Caso!F29</x:f>
        <x:v>1894.74</x:v>
      </x:c>
      <x:c r="M29" s="132" t="inlineStr">
        <x:is>
          <x:t xml:space="preserve">Fixo + tempo</x:t>
        </x:is>
      </x:c>
      <x:c r="N29" s="6"/>
      <x:c r="O29" s="21"/>
      <x:c r="P29" s="21"/>
      <x:c r="Q29" s="21"/>
      <x:c r="R29" s="21"/>
      <x:c r="S29" s="21"/>
      <x:c r="T29" s="21"/>
    </x:row>
    <x:row r="30" ht="36" customHeight="1">
      <x:c r="A30" s="19" t="s">
        <x:v>45</x:v>
      </x:c>
      <x:c r="B30" s="131" t="inlineStr">
        <x:is>
          <x:t xml:space="preserve">Correção de defeitos / lista de pendências</x:t>
        </x:is>
      </x:c>
      <x:c r="C30" s="6" t="s">
        <x:v>46</x:v>
      </x:c>
      <x:c r="D30" s="6" t="s">
        <x:v>21</x:v>
      </x:c>
      <x:c r="E30" s="21"/>
      <x:c r="F30" s="21"/>
      <x:c r="G30" s="21"/>
      <x:c r="H30" s="21"/>
      <x:c r="I30" s="21">
        <x:v>5</x:v>
      </x:c>
      <x:c r="J30" s="21">
        <x:v>1</x:v>
      </x:c>
      <x:c r="K30" s="22" t="n">
        <x:f>Premissas_do_Caso!E30</x:f>
        <x:v>7500</x:v>
      </x:c>
      <x:c r="L30" s="26" t="n">
        <x:f>Premissas_do_Caso!F30</x:f>
        <x:v>1500</x:v>
      </x:c>
      <x:c r="M30" s="132" t="inlineStr">
        <x:is>
          <x:t xml:space="preserve">Fixo + tempo</x:t>
        </x:is>
      </x:c>
      <x:c r="N30" s="6"/>
      <x:c r="O30" s="21"/>
      <x:c r="P30" s="21"/>
      <x:c r="Q30" s="21"/>
      <x:c r="R30" s="21"/>
      <x:c r="S30" s="21"/>
      <x:c r="T30" s="21"/>
    </x:row>
    <x:row r="31" ht="21" customHeight="1">
      <x:c r="A31" s="19" t="s">
        <x:v>47</x:v>
      </x:c>
      <x:c r="B31" s="131" t="inlineStr">
        <x:is>
          <x:t xml:space="preserve">Inspeção final e aprovações</x:t>
        </x:is>
      </x:c>
      <x:c r="C31" s="6" t="s">
        <x:v>48</x:v>
      </x:c>
      <x:c r="D31" s="6" t="s">
        <x:v>16</x:v>
      </x:c>
      <x:c r="E31" s="21"/>
      <x:c r="F31" s="21">
        <x:v>2</x:v>
      </x:c>
      <x:c r="G31" s="21">
        <x:v>4</x:v>
      </x:c>
      <x:c r="H31" s="21">
        <x:v>7</x:v>
      </x:c>
      <x:c r="I31" s="21"/>
      <x:c r="J31" s="21"/>
      <x:c r="K31" s="22" t="n">
        <x:f>Premissas_do_Caso!E31</x:f>
        <x:v>10000</x:v>
      </x:c>
      <x:c r="L31" s="26" t="n">
        <x:f>Premissas_do_Caso!F31</x:f>
        <x:v>0</x:v>
      </x:c>
      <x:c r="M31" s="132" t="inlineStr">
        <x:is>
          <x:t xml:space="preserve">Apenas fixo</x:t>
        </x:is>
      </x:c>
      <x:c r="N31" s="6"/>
      <x:c r="O31" s="21"/>
      <x:c r="P31" s="21"/>
      <x:c r="Q31" s="21"/>
      <x:c r="R31" s="21"/>
      <x:c r="S31" s="21"/>
      <x:c r="T31" s="21"/>
    </x:row>
    <x:row r="32" ht="21" customHeight="1">
      <x:c r="A32" s="19" t="s">
        <x:v>49</x:v>
      </x:c>
      <x:c r="B32" s="131" t="inlineStr">
        <x:is>
          <x:t xml:space="preserve">Entrega e encerramento</x:t>
        </x:is>
      </x:c>
      <x:c r="C32" s="6" t="s">
        <x:v>47</x:v>
      </x:c>
      <x:c r="D32" s="6" t="s">
        <x:v>18</x:v>
      </x:c>
      <x:c r="E32" s="21"/>
      <x:c r="F32" s="21">
        <x:v>1</x:v>
      </x:c>
      <x:c r="G32" s="21">
        <x:v>2</x:v>
      </x:c>
      <x:c r="H32" s="21">
        <x:v>4</x:v>
      </x:c>
      <x:c r="I32" s="21"/>
      <x:c r="J32" s="21"/>
      <x:c r="K32" s="22" t="n">
        <x:f>Premissas_do_Caso!E32</x:f>
        <x:v>8000</x:v>
      </x:c>
      <x:c r="L32" s="26" t="n">
        <x:f>Premissas_do_Caso!F32</x:f>
        <x:v>0</x:v>
      </x:c>
      <x:c r="M32" s="132" t="inlineStr">
        <x:is>
          <x:t xml:space="preserve">Apenas fixo</x:t>
        </x:is>
      </x:c>
      <x:c r="N32" s="6"/>
      <x:c r="O32" s="21"/>
      <x:c r="P32" s="21"/>
      <x:c r="Q32" s="21"/>
      <x:c r="R32" s="21"/>
      <x:c r="S32" s="21"/>
      <x:c r="T32" s="21"/>
    </x:row>
    <x:row r="33">
      <x:c r="A33" s="19"/>
      <x:c r="B33" s="6"/>
      <x:c r="C33" s="6"/>
      <x:c r="D33" s="6"/>
      <x:c r="E33" s="21"/>
      <x:c r="F33" s="21"/>
      <x:c r="G33" s="21"/>
      <x:c r="H33" s="21"/>
      <x:c r="I33" s="21"/>
      <x:c r="J33" s="21"/>
      <x:c r="K33" s="23"/>
      <x:c r="L33" s="27"/>
      <x:c r="M33" s="27"/>
      <x:c r="N33" s="6"/>
      <x:c r="O33" s="21"/>
      <x:c r="P33" s="21"/>
      <x:c r="Q33" s="21"/>
      <x:c r="R33" s="21"/>
      <x:c r="S33" s="21"/>
      <x:c r="T33" s="21"/>
    </x:row>
    <x:row r="34">
      <x:c r="A34" s="19"/>
      <x:c r="B34" s="6"/>
      <x:c r="C34" s="6"/>
      <x:c r="D34" s="6"/>
      <x:c r="E34" s="21"/>
      <x:c r="F34" s="21"/>
      <x:c r="G34" s="21"/>
      <x:c r="H34" s="21"/>
      <x:c r="I34" s="21"/>
      <x:c r="J34" s="21"/>
      <x:c r="K34" s="23"/>
      <x:c r="L34" s="27"/>
      <x:c r="M34" s="27"/>
      <x:c r="N34" s="6"/>
      <x:c r="O34" s="21"/>
      <x:c r="P34" s="21"/>
      <x:c r="Q34" s="21"/>
      <x:c r="R34" s="21"/>
      <x:c r="S34" s="21"/>
      <x:c r="T34" s="21"/>
    </x:row>
    <x:row r="35" s="1" customFormat="1">
      <x:c r="A35" s="20"/>
      <x:c r="B35" s="18"/>
      <x:c r="C35" s="18"/>
      <x:c r="D35" s="18"/>
      <x:c r="E35" s="20"/>
      <x:c r="F35" s="20"/>
      <x:c r="G35" s="20"/>
      <x:c r="H35" s="20"/>
      <x:c r="I35" s="20"/>
      <x:c r="J35" s="20"/>
      <x:c r="K35" s="24"/>
      <x:c r="L35" s="27"/>
      <x:c r="M35" s="27"/>
      <x:c r="N35" s="18"/>
      <x:c r="O35" s="20"/>
      <x:c r="P35" s="20"/>
      <x:c r="Q35" s="20"/>
      <x:c r="R35" s="20"/>
      <x:c r="S35" s="20"/>
      <x:c r="T35" s="20"/>
    </x:row>
    <x:row r="36" s="1" customFormat="1">
      <x:c r="A36" s="20"/>
      <x:c r="B36" s="18"/>
      <x:c r="C36" s="18"/>
      <x:c r="D36" s="18"/>
      <x:c r="E36" s="20"/>
      <x:c r="F36" s="20"/>
      <x:c r="G36" s="20"/>
      <x:c r="H36" s="20"/>
      <x:c r="I36" s="20"/>
      <x:c r="J36" s="20"/>
      <x:c r="K36" s="24"/>
      <x:c r="L36" s="27"/>
      <x:c r="M36" s="27"/>
      <x:c r="N36" s="18"/>
      <x:c r="O36" s="20"/>
      <x:c r="P36" s="20"/>
      <x:c r="Q36" s="20"/>
      <x:c r="R36" s="20"/>
      <x:c r="S36" s="20"/>
      <x:c r="T36" s="20"/>
    </x:row>
    <x:row r="37" s="1" customFormat="1">
      <x:c r="A37" s="20"/>
      <x:c r="B37" s="18"/>
      <x:c r="C37" s="18"/>
      <x:c r="D37" s="18"/>
      <x:c r="E37" s="20"/>
      <x:c r="F37" s="20"/>
      <x:c r="G37" s="20"/>
      <x:c r="H37" s="20"/>
      <x:c r="I37" s="20"/>
      <x:c r="J37" s="20"/>
      <x:c r="K37" s="24"/>
      <x:c r="L37" s="27"/>
      <x:c r="M37" s="27"/>
      <x:c r="N37" s="18"/>
      <x:c r="O37" s="20"/>
      <x:c r="P37" s="20"/>
      <x:c r="Q37" s="20"/>
      <x:c r="R37" s="20"/>
      <x:c r="S37" s="20"/>
      <x:c r="T37" s="20"/>
    </x:row>
    <x:row r="38" s="1" customFormat="1">
      <x:c r="A38" s="20"/>
      <x:c r="B38" s="18"/>
      <x:c r="C38" s="18"/>
      <x:c r="D38" s="18"/>
      <x:c r="E38" s="20"/>
      <x:c r="F38" s="20"/>
      <x:c r="G38" s="20"/>
      <x:c r="H38" s="20"/>
      <x:c r="I38" s="20"/>
      <x:c r="J38" s="20"/>
      <x:c r="K38" s="24"/>
      <x:c r="L38" s="27"/>
      <x:c r="M38" s="27"/>
      <x:c r="N38" s="18"/>
      <x:c r="O38" s="20"/>
      <x:c r="P38" s="20"/>
      <x:c r="Q38" s="20"/>
      <x:c r="R38" s="20"/>
      <x:c r="S38" s="20"/>
      <x:c r="T38" s="20"/>
    </x:row>
    <x:row r="39" s="1" customFormat="1">
      <x:c r="A39" s="20"/>
      <x:c r="B39" s="18"/>
      <x:c r="C39" s="18"/>
      <x:c r="D39" s="18"/>
      <x:c r="E39" s="20"/>
      <x:c r="F39" s="20"/>
      <x:c r="G39" s="20"/>
      <x:c r="H39" s="20"/>
      <x:c r="I39" s="20"/>
      <x:c r="J39" s="20"/>
      <x:c r="K39" s="24"/>
      <x:c r="L39" s="27"/>
      <x:c r="M39" s="27"/>
      <x:c r="N39" s="18"/>
      <x:c r="O39" s="20"/>
      <x:c r="P39" s="20"/>
      <x:c r="Q39" s="20"/>
      <x:c r="R39" s="20"/>
      <x:c r="S39" s="20"/>
      <x:c r="T39" s="20"/>
    </x:row>
    <x:row r="40" s="1" customFormat="1">
      <x:c r="A40" s="20"/>
      <x:c r="B40" s="18"/>
      <x:c r="C40" s="18"/>
      <x:c r="D40" s="18"/>
      <x:c r="E40" s="20"/>
      <x:c r="F40" s="20"/>
      <x:c r="G40" s="20"/>
      <x:c r="H40" s="20"/>
      <x:c r="I40" s="20"/>
      <x:c r="J40" s="20"/>
      <x:c r="K40" s="24"/>
      <x:c r="L40" s="27"/>
      <x:c r="M40" s="27"/>
      <x:c r="N40" s="18"/>
      <x:c r="O40" s="20"/>
      <x:c r="P40" s="20"/>
      <x:c r="Q40" s="20"/>
      <x:c r="R40" s="20"/>
      <x:c r="S40" s="20"/>
      <x:c r="T40" s="20"/>
    </x:row>
    <x:row r="41" s="1" customFormat="1">
      <x:c r="A41" s="20"/>
      <x:c r="B41" s="18"/>
      <x:c r="C41" s="18"/>
      <x:c r="D41" s="18"/>
      <x:c r="E41" s="20"/>
      <x:c r="F41" s="20"/>
      <x:c r="G41" s="20"/>
      <x:c r="H41" s="20"/>
      <x:c r="I41" s="20"/>
      <x:c r="J41" s="20"/>
      <x:c r="K41" s="24"/>
      <x:c r="L41" s="27"/>
      <x:c r="M41" s="27"/>
      <x:c r="N41" s="18"/>
      <x:c r="O41" s="20"/>
      <x:c r="P41" s="20"/>
      <x:c r="Q41" s="20"/>
      <x:c r="R41" s="20"/>
      <x:c r="S41" s="20"/>
      <x:c r="T41" s="20"/>
    </x:row>
    <x:row r="42" s="1" customFormat="1">
      <x:c r="A42" s="20"/>
      <x:c r="B42" s="18"/>
      <x:c r="C42" s="18"/>
      <x:c r="D42" s="18"/>
      <x:c r="E42" s="20"/>
      <x:c r="F42" s="20"/>
      <x:c r="G42" s="20"/>
      <x:c r="H42" s="20"/>
      <x:c r="I42" s="20"/>
      <x:c r="J42" s="20"/>
      <x:c r="K42" s="24"/>
      <x:c r="L42" s="27"/>
      <x:c r="M42" s="27"/>
      <x:c r="N42" s="18"/>
      <x:c r="O42" s="20"/>
      <x:c r="P42" s="20"/>
      <x:c r="Q42" s="20"/>
      <x:c r="R42" s="20"/>
      <x:c r="S42" s="20"/>
      <x:c r="T42" s="20"/>
    </x:row>
    <x:row r="43" s="1" customFormat="1">
      <x:c r="A43" s="20"/>
      <x:c r="B43" s="18"/>
      <x:c r="C43" s="18"/>
      <x:c r="D43" s="18"/>
      <x:c r="E43" s="20"/>
      <x:c r="F43" s="20"/>
      <x:c r="G43" s="20"/>
      <x:c r="H43" s="20"/>
      <x:c r="I43" s="20"/>
      <x:c r="J43" s="20"/>
      <x:c r="K43" s="24"/>
      <x:c r="L43" s="27"/>
      <x:c r="M43" s="27"/>
      <x:c r="N43" s="18"/>
      <x:c r="O43" s="20"/>
      <x:c r="P43" s="20"/>
      <x:c r="Q43" s="20"/>
      <x:c r="R43" s="20"/>
      <x:c r="S43" s="20"/>
      <x:c r="T43" s="20"/>
    </x:row>
    <x:row r="44" s="1" customFormat="1">
      <x:c r="A44" s="20"/>
      <x:c r="B44" s="18"/>
      <x:c r="C44" s="18"/>
      <x:c r="D44" s="18"/>
      <x:c r="E44" s="20"/>
      <x:c r="F44" s="20"/>
      <x:c r="G44" s="20"/>
      <x:c r="H44" s="20"/>
      <x:c r="I44" s="20"/>
      <x:c r="J44" s="20"/>
      <x:c r="K44" s="24"/>
      <x:c r="L44" s="27"/>
      <x:c r="M44" s="27"/>
      <x:c r="N44" s="18"/>
      <x:c r="O44" s="20"/>
      <x:c r="P44" s="20"/>
      <x:c r="Q44" s="20"/>
      <x:c r="R44" s="20"/>
      <x:c r="S44" s="20"/>
      <x:c r="T44" s="20"/>
    </x:row>
    <x:row r="45" s="1" customFormat="1">
      <x:c r="A45" s="20"/>
      <x:c r="B45" s="18"/>
      <x:c r="C45" s="18"/>
      <x:c r="D45" s="18"/>
      <x:c r="E45" s="20"/>
      <x:c r="F45" s="20"/>
      <x:c r="G45" s="20"/>
      <x:c r="H45" s="20"/>
      <x:c r="I45" s="20"/>
      <x:c r="J45" s="20"/>
      <x:c r="K45" s="24"/>
      <x:c r="L45" s="27"/>
      <x:c r="M45" s="27"/>
      <x:c r="N45" s="18"/>
      <x:c r="O45" s="20"/>
      <x:c r="P45" s="20"/>
      <x:c r="Q45" s="20"/>
      <x:c r="R45" s="20"/>
      <x:c r="S45" s="20"/>
      <x:c r="T45" s="20"/>
    </x:row>
    <x:row r="46" s="1" customFormat="1">
      <x:c r="A46" s="20"/>
      <x:c r="B46" s="18"/>
      <x:c r="C46" s="18"/>
      <x:c r="D46" s="18"/>
      <x:c r="E46" s="20"/>
      <x:c r="F46" s="20"/>
      <x:c r="G46" s="20"/>
      <x:c r="H46" s="20"/>
      <x:c r="I46" s="20"/>
      <x:c r="J46" s="20"/>
      <x:c r="K46" s="24"/>
      <x:c r="L46" s="27"/>
      <x:c r="M46" s="27"/>
      <x:c r="N46" s="18"/>
      <x:c r="O46" s="20"/>
      <x:c r="P46" s="20"/>
      <x:c r="Q46" s="20"/>
      <x:c r="R46" s="20"/>
      <x:c r="S46" s="20"/>
      <x:c r="T46" s="20"/>
    </x:row>
    <x:row r="47" s="1" customFormat="1">
      <x:c r="A47" s="20"/>
      <x:c r="B47" s="18"/>
      <x:c r="C47" s="18"/>
      <x:c r="D47" s="18"/>
      <x:c r="E47" s="20"/>
      <x:c r="F47" s="20"/>
      <x:c r="G47" s="20"/>
      <x:c r="H47" s="20"/>
      <x:c r="I47" s="20"/>
      <x:c r="J47" s="20"/>
      <x:c r="K47" s="24"/>
      <x:c r="L47" s="27"/>
      <x:c r="M47" s="27"/>
      <x:c r="N47" s="18"/>
      <x:c r="O47" s="20"/>
      <x:c r="P47" s="20"/>
      <x:c r="Q47" s="20"/>
      <x:c r="R47" s="20"/>
      <x:c r="S47" s="20"/>
      <x:c r="T47" s="20"/>
    </x:row>
    <x:row r="48" s="1" customFormat="1">
      <x:c r="A48" s="20"/>
      <x:c r="B48" s="18"/>
      <x:c r="C48" s="18"/>
      <x:c r="D48" s="18"/>
      <x:c r="E48" s="20"/>
      <x:c r="F48" s="20"/>
      <x:c r="G48" s="20"/>
      <x:c r="H48" s="20"/>
      <x:c r="I48" s="20"/>
      <x:c r="J48" s="20"/>
      <x:c r="K48" s="24"/>
      <x:c r="L48" s="27"/>
      <x:c r="M48" s="27"/>
      <x:c r="N48" s="18"/>
      <x:c r="O48" s="20"/>
      <x:c r="P48" s="20"/>
      <x:c r="Q48" s="20"/>
      <x:c r="R48" s="20"/>
      <x:c r="S48" s="20"/>
      <x:c r="T48" s="20"/>
    </x:row>
    <x:row r="49" s="1" customFormat="1">
      <x:c r="A49" s="20"/>
      <x:c r="B49" s="18"/>
      <x:c r="C49" s="18"/>
      <x:c r="D49" s="18"/>
      <x:c r="E49" s="20"/>
      <x:c r="F49" s="20"/>
      <x:c r="G49" s="20"/>
      <x:c r="H49" s="20"/>
      <x:c r="I49" s="20"/>
      <x:c r="J49" s="20"/>
      <x:c r="K49" s="24"/>
      <x:c r="L49" s="27"/>
      <x:c r="M49" s="27"/>
      <x:c r="N49" s="18"/>
      <x:c r="O49" s="20"/>
      <x:c r="P49" s="20"/>
      <x:c r="Q49" s="20"/>
      <x:c r="R49" s="20"/>
      <x:c r="S49" s="20"/>
      <x:c r="T49" s="20"/>
    </x:row>
    <x:row r="50" s="1" customFormat="1">
      <x:c r="A50" s="20"/>
      <x:c r="B50" s="18"/>
      <x:c r="C50" s="18"/>
      <x:c r="D50" s="18"/>
      <x:c r="E50" s="20"/>
      <x:c r="F50" s="20"/>
      <x:c r="G50" s="20"/>
      <x:c r="H50" s="20"/>
      <x:c r="I50" s="20"/>
      <x:c r="J50" s="20"/>
      <x:c r="K50" s="24"/>
      <x:c r="L50" s="27"/>
      <x:c r="M50" s="27"/>
      <x:c r="N50" s="18"/>
      <x:c r="O50" s="20"/>
      <x:c r="P50" s="20"/>
      <x:c r="Q50" s="20"/>
      <x:c r="R50" s="20"/>
      <x:c r="S50" s="20"/>
      <x:c r="T50" s="20"/>
    </x:row>
    <x:row r="51" s="1" customFormat="1">
      <x:c r="A51" s="20"/>
      <x:c r="B51" s="18"/>
      <x:c r="C51" s="18"/>
      <x:c r="D51" s="18"/>
      <x:c r="E51" s="20"/>
      <x:c r="F51" s="20"/>
      <x:c r="G51" s="20"/>
      <x:c r="H51" s="20"/>
      <x:c r="I51" s="20"/>
      <x:c r="J51" s="20"/>
      <x:c r="K51" s="24"/>
      <x:c r="L51" s="27"/>
      <x:c r="M51" s="27"/>
      <x:c r="N51" s="18"/>
      <x:c r="O51" s="20"/>
      <x:c r="P51" s="20"/>
      <x:c r="Q51" s="20"/>
      <x:c r="R51" s="20"/>
      <x:c r="S51" s="20"/>
      <x:c r="T51" s="20"/>
    </x:row>
    <x:row r="52" s="1" customFormat="1">
      <x:c r="A52" s="20"/>
      <x:c r="B52" s="18"/>
      <x:c r="C52" s="18"/>
      <x:c r="D52" s="18"/>
      <x:c r="E52" s="20"/>
      <x:c r="F52" s="20"/>
      <x:c r="G52" s="20"/>
      <x:c r="H52" s="20"/>
      <x:c r="I52" s="20"/>
      <x:c r="J52" s="20"/>
      <x:c r="K52" s="24"/>
      <x:c r="L52" s="27"/>
      <x:c r="M52" s="27"/>
      <x:c r="N52" s="18"/>
      <x:c r="O52" s="20"/>
      <x:c r="P52" s="20"/>
      <x:c r="Q52" s="20"/>
      <x:c r="R52" s="20"/>
      <x:c r="S52" s="20"/>
      <x:c r="T52" s="20"/>
    </x:row>
    <x:row r="53" s="1" customFormat="1">
      <x:c r="A53" s="20"/>
      <x:c r="B53" s="18"/>
      <x:c r="C53" s="18"/>
      <x:c r="D53" s="18"/>
      <x:c r="E53" s="20"/>
      <x:c r="F53" s="20"/>
      <x:c r="G53" s="20"/>
      <x:c r="H53" s="20"/>
      <x:c r="I53" s="20"/>
      <x:c r="J53" s="20"/>
      <x:c r="K53" s="24"/>
      <x:c r="L53" s="27"/>
      <x:c r="M53" s="27"/>
      <x:c r="N53" s="18"/>
      <x:c r="O53" s="20"/>
      <x:c r="P53" s="20"/>
      <x:c r="Q53" s="20"/>
      <x:c r="R53" s="20"/>
      <x:c r="S53" s="20"/>
      <x:c r="T53" s="20"/>
    </x:row>
    <x:row r="54" s="1" customFormat="1">
      <x:c r="A54" s="20"/>
      <x:c r="B54" s="18"/>
      <x:c r="C54" s="18"/>
      <x:c r="D54" s="18"/>
      <x:c r="E54" s="20"/>
      <x:c r="F54" s="20"/>
      <x:c r="G54" s="20"/>
      <x:c r="H54" s="20"/>
      <x:c r="I54" s="20"/>
      <x:c r="J54" s="20"/>
      <x:c r="K54" s="24"/>
      <x:c r="L54" s="27"/>
      <x:c r="M54" s="27"/>
      <x:c r="N54" s="18"/>
      <x:c r="O54" s="20"/>
      <x:c r="P54" s="20"/>
      <x:c r="Q54" s="20"/>
      <x:c r="R54" s="20"/>
      <x:c r="S54" s="20"/>
      <x:c r="T54" s="20"/>
    </x:row>
    <x:row r="55" s="1" customFormat="1">
      <x:c r="A55" s="20"/>
      <x:c r="B55" s="18"/>
      <x:c r="C55" s="18"/>
      <x:c r="D55" s="18"/>
      <x:c r="E55" s="20"/>
      <x:c r="F55" s="20"/>
      <x:c r="G55" s="20"/>
      <x:c r="H55" s="20"/>
      <x:c r="I55" s="20"/>
      <x:c r="J55" s="20"/>
      <x:c r="K55" s="24"/>
      <x:c r="L55" s="27"/>
      <x:c r="M55" s="27"/>
      <x:c r="N55" s="18"/>
      <x:c r="O55" s="20"/>
      <x:c r="P55" s="20"/>
      <x:c r="Q55" s="20"/>
      <x:c r="R55" s="20"/>
      <x:c r="S55" s="20"/>
      <x:c r="T55" s="20"/>
    </x:row>
    <x:row r="56" s="1" customFormat="1">
      <x:c r="A56" s="20"/>
      <x:c r="B56" s="18"/>
      <x:c r="C56" s="18"/>
      <x:c r="D56" s="18"/>
      <x:c r="E56" s="20"/>
      <x:c r="F56" s="20"/>
      <x:c r="G56" s="20"/>
      <x:c r="H56" s="20"/>
      <x:c r="I56" s="20"/>
      <x:c r="J56" s="20"/>
      <x:c r="K56" s="24"/>
      <x:c r="L56" s="27"/>
      <x:c r="M56" s="27"/>
      <x:c r="N56" s="18"/>
      <x:c r="O56" s="20"/>
      <x:c r="P56" s="20"/>
      <x:c r="Q56" s="20"/>
      <x:c r="R56" s="20"/>
      <x:c r="S56" s="20"/>
      <x:c r="T56" s="20"/>
    </x:row>
    <x:row r="57" s="1" customFormat="1">
      <x:c r="A57" s="20"/>
      <x:c r="B57" s="18"/>
      <x:c r="C57" s="18"/>
      <x:c r="D57" s="18"/>
      <x:c r="E57" s="20"/>
      <x:c r="F57" s="20"/>
      <x:c r="G57" s="20"/>
      <x:c r="H57" s="20"/>
      <x:c r="I57" s="20"/>
      <x:c r="J57" s="20"/>
      <x:c r="K57" s="24"/>
      <x:c r="L57" s="27"/>
      <x:c r="M57" s="27"/>
      <x:c r="N57" s="18"/>
      <x:c r="O57" s="20"/>
      <x:c r="P57" s="20"/>
      <x:c r="Q57" s="20"/>
      <x:c r="R57" s="20"/>
      <x:c r="S57" s="20"/>
      <x:c r="T57" s="20"/>
    </x:row>
    <x:row r="58" s="1" customFormat="1">
      <x:c r="A58" s="20"/>
      <x:c r="B58" s="18"/>
      <x:c r="C58" s="18"/>
      <x:c r="D58" s="18"/>
      <x:c r="E58" s="20"/>
      <x:c r="F58" s="20"/>
      <x:c r="G58" s="20"/>
      <x:c r="H58" s="20"/>
      <x:c r="I58" s="20"/>
      <x:c r="J58" s="20"/>
      <x:c r="K58" s="24"/>
      <x:c r="L58" s="27"/>
      <x:c r="M58" s="27"/>
      <x:c r="N58" s="18"/>
      <x:c r="O58" s="20"/>
      <x:c r="P58" s="20"/>
      <x:c r="Q58" s="20"/>
      <x:c r="R58" s="20"/>
      <x:c r="S58" s="20"/>
      <x:c r="T58" s="20"/>
    </x:row>
    <x:row r="59" s="1" customFormat="1">
      <x:c r="A59" s="20"/>
      <x:c r="B59" s="18"/>
      <x:c r="C59" s="18"/>
      <x:c r="D59" s="18"/>
      <x:c r="E59" s="20"/>
      <x:c r="F59" s="20"/>
      <x:c r="G59" s="20"/>
      <x:c r="H59" s="20"/>
      <x:c r="I59" s="20"/>
      <x:c r="J59" s="20"/>
      <x:c r="K59" s="24"/>
      <x:c r="L59" s="27"/>
      <x:c r="M59" s="27"/>
      <x:c r="N59" s="18"/>
      <x:c r="O59" s="20"/>
      <x:c r="P59" s="20"/>
      <x:c r="Q59" s="20"/>
      <x:c r="R59" s="20"/>
      <x:c r="S59" s="20"/>
      <x:c r="T59" s="20"/>
    </x:row>
    <x:row r="60" s="1" customFormat="1">
      <x:c r="A60" s="20"/>
      <x:c r="B60" s="18"/>
      <x:c r="C60" s="18"/>
      <x:c r="D60" s="18"/>
      <x:c r="E60" s="20"/>
      <x:c r="F60" s="20"/>
      <x:c r="G60" s="20"/>
      <x:c r="H60" s="20"/>
      <x:c r="I60" s="20"/>
      <x:c r="J60" s="20"/>
      <x:c r="K60" s="24"/>
      <x:c r="L60" s="27"/>
      <x:c r="M60" s="27"/>
      <x:c r="N60" s="18"/>
      <x:c r="O60" s="20"/>
      <x:c r="P60" s="20"/>
      <x:c r="Q60" s="20"/>
      <x:c r="R60" s="20"/>
      <x:c r="S60" s="20"/>
      <x:c r="T60" s="20"/>
    </x:row>
    <x:row r="61" s="1" customFormat="1">
      <x:c r="A61" s="20"/>
      <x:c r="B61" s="18"/>
      <x:c r="C61" s="18"/>
      <x:c r="D61" s="18"/>
      <x:c r="E61" s="20"/>
      <x:c r="F61" s="20"/>
      <x:c r="G61" s="20"/>
      <x:c r="H61" s="20"/>
      <x:c r="I61" s="20"/>
      <x:c r="J61" s="20"/>
      <x:c r="K61" s="24"/>
      <x:c r="L61" s="27"/>
      <x:c r="M61" s="27"/>
      <x:c r="N61" s="18"/>
      <x:c r="O61" s="20"/>
      <x:c r="P61" s="20"/>
      <x:c r="Q61" s="20"/>
      <x:c r="R61" s="20"/>
      <x:c r="S61" s="20"/>
      <x:c r="T61" s="20"/>
    </x:row>
    <x:row r="62" s="1" customFormat="1">
      <x:c r="A62" s="20"/>
      <x:c r="B62" s="18"/>
      <x:c r="C62" s="18"/>
      <x:c r="D62" s="18"/>
      <x:c r="E62" s="20"/>
      <x:c r="F62" s="20"/>
      <x:c r="G62" s="20"/>
      <x:c r="H62" s="20"/>
      <x:c r="I62" s="20"/>
      <x:c r="J62" s="20"/>
      <x:c r="K62" s="24"/>
      <x:c r="L62" s="27"/>
      <x:c r="M62" s="27"/>
      <x:c r="N62" s="18"/>
      <x:c r="O62" s="20"/>
      <x:c r="P62" s="20"/>
      <x:c r="Q62" s="20"/>
      <x:c r="R62" s="20"/>
      <x:c r="S62" s="20"/>
      <x:c r="T62" s="20"/>
    </x:row>
    <x:row r="63" s="1" customFormat="1">
      <x:c r="A63" s="20"/>
      <x:c r="B63" s="18"/>
      <x:c r="C63" s="18"/>
      <x:c r="D63" s="18"/>
      <x:c r="E63" s="20"/>
      <x:c r="F63" s="20"/>
      <x:c r="G63" s="20"/>
      <x:c r="H63" s="20"/>
      <x:c r="I63" s="20"/>
      <x:c r="J63" s="20"/>
      <x:c r="K63" s="24"/>
      <x:c r="L63" s="27"/>
      <x:c r="M63" s="27"/>
      <x:c r="N63" s="18"/>
      <x:c r="O63" s="20"/>
      <x:c r="P63" s="20"/>
      <x:c r="Q63" s="20"/>
      <x:c r="R63" s="20"/>
      <x:c r="S63" s="20"/>
      <x:c r="T63" s="20"/>
    </x:row>
    <x:row r="64" s="1" customFormat="1">
      <x:c r="A64" s="20"/>
      <x:c r="B64" s="18"/>
      <x:c r="C64" s="18"/>
      <x:c r="D64" s="18"/>
      <x:c r="E64" s="20"/>
      <x:c r="F64" s="20"/>
      <x:c r="G64" s="20"/>
      <x:c r="H64" s="20"/>
      <x:c r="I64" s="20"/>
      <x:c r="J64" s="20"/>
      <x:c r="K64" s="24"/>
      <x:c r="L64" s="27"/>
      <x:c r="M64" s="27"/>
      <x:c r="N64" s="18"/>
      <x:c r="O64" s="20"/>
      <x:c r="P64" s="20"/>
      <x:c r="Q64" s="20"/>
      <x:c r="R64" s="20"/>
      <x:c r="S64" s="20"/>
      <x:c r="T64" s="20"/>
    </x:row>
    <x:row r="65" s="1" customFormat="1">
      <x:c r="A65" s="20"/>
      <x:c r="B65" s="18"/>
      <x:c r="C65" s="18"/>
      <x:c r="D65" s="18"/>
      <x:c r="E65" s="20"/>
      <x:c r="F65" s="20"/>
      <x:c r="G65" s="20"/>
      <x:c r="H65" s="20"/>
      <x:c r="I65" s="20"/>
      <x:c r="J65" s="20"/>
      <x:c r="K65" s="24"/>
      <x:c r="L65" s="27"/>
      <x:c r="M65" s="27"/>
      <x:c r="N65" s="18"/>
      <x:c r="O65" s="20"/>
      <x:c r="P65" s="20"/>
      <x:c r="Q65" s="20"/>
      <x:c r="R65" s="20"/>
      <x:c r="S65" s="20"/>
      <x:c r="T65" s="20"/>
    </x:row>
    <x:row r="66" s="1" customFormat="1">
      <x:c r="A66" s="20"/>
      <x:c r="B66" s="18"/>
      <x:c r="C66" s="18"/>
      <x:c r="D66" s="18"/>
      <x:c r="E66" s="20"/>
      <x:c r="F66" s="20"/>
      <x:c r="G66" s="20"/>
      <x:c r="H66" s="20"/>
      <x:c r="I66" s="20"/>
      <x:c r="J66" s="20"/>
      <x:c r="K66" s="24"/>
      <x:c r="L66" s="27"/>
      <x:c r="M66" s="27"/>
      <x:c r="N66" s="18"/>
      <x:c r="O66" s="20"/>
      <x:c r="P66" s="20"/>
      <x:c r="Q66" s="20"/>
      <x:c r="R66" s="20"/>
      <x:c r="S66" s="20"/>
      <x:c r="T66" s="20"/>
    </x:row>
    <x:row r="67" s="1" customFormat="1">
      <x:c r="A67" s="20"/>
      <x:c r="B67" s="18"/>
      <x:c r="C67" s="18"/>
      <x:c r="D67" s="18"/>
      <x:c r="E67" s="20"/>
      <x:c r="F67" s="20"/>
      <x:c r="G67" s="20"/>
      <x:c r="H67" s="20"/>
      <x:c r="I67" s="20"/>
      <x:c r="J67" s="20"/>
      <x:c r="K67" s="24"/>
      <x:c r="L67" s="27"/>
      <x:c r="M67" s="27"/>
      <x:c r="N67" s="18"/>
      <x:c r="O67" s="20"/>
      <x:c r="P67" s="20"/>
      <x:c r="Q67" s="20"/>
      <x:c r="R67" s="20"/>
      <x:c r="S67" s="20"/>
      <x:c r="T67" s="20"/>
    </x:row>
    <x:row r="68" s="1" customFormat="1">
      <x:c r="A68" s="20"/>
      <x:c r="B68" s="18"/>
      <x:c r="C68" s="18"/>
      <x:c r="D68" s="18"/>
      <x:c r="E68" s="20"/>
      <x:c r="F68" s="20"/>
      <x:c r="G68" s="20"/>
      <x:c r="H68" s="20"/>
      <x:c r="I68" s="20"/>
      <x:c r="J68" s="20"/>
      <x:c r="K68" s="24"/>
      <x:c r="L68" s="27"/>
      <x:c r="M68" s="27"/>
      <x:c r="N68" s="18"/>
      <x:c r="O68" s="20"/>
      <x:c r="P68" s="20"/>
      <x:c r="Q68" s="20"/>
      <x:c r="R68" s="20"/>
      <x:c r="S68" s="20"/>
      <x:c r="T68" s="20"/>
    </x:row>
    <x:row r="69" s="1" customFormat="1">
      <x:c r="A69" s="20"/>
      <x:c r="B69" s="18"/>
      <x:c r="C69" s="18"/>
      <x:c r="D69" s="18"/>
      <x:c r="E69" s="20"/>
      <x:c r="F69" s="20"/>
      <x:c r="G69" s="20"/>
      <x:c r="H69" s="20"/>
      <x:c r="I69" s="20"/>
      <x:c r="J69" s="20"/>
      <x:c r="K69" s="24"/>
      <x:c r="L69" s="27"/>
      <x:c r="M69" s="27"/>
      <x:c r="N69" s="18"/>
      <x:c r="O69" s="20"/>
      <x:c r="P69" s="20"/>
      <x:c r="Q69" s="20"/>
      <x:c r="R69" s="20"/>
      <x:c r="S69" s="20"/>
      <x:c r="T69" s="20"/>
    </x:row>
    <x:row r="70" s="1" customFormat="1">
      <x:c r="A70" s="20"/>
      <x:c r="B70" s="18"/>
      <x:c r="C70" s="18"/>
      <x:c r="D70" s="18"/>
      <x:c r="E70" s="20"/>
      <x:c r="F70" s="20"/>
      <x:c r="G70" s="20"/>
      <x:c r="H70" s="20"/>
      <x:c r="I70" s="20"/>
      <x:c r="J70" s="20"/>
      <x:c r="K70" s="24"/>
      <x:c r="L70" s="27"/>
      <x:c r="M70" s="27"/>
      <x:c r="N70" s="18"/>
      <x:c r="O70" s="20"/>
      <x:c r="P70" s="20"/>
      <x:c r="Q70" s="20"/>
      <x:c r="R70" s="20"/>
      <x:c r="S70" s="20"/>
      <x:c r="T70" s="20"/>
    </x:row>
    <x:row r="71" s="1" customFormat="1">
      <x:c r="A71" s="20"/>
      <x:c r="B71" s="18"/>
      <x:c r="C71" s="18"/>
      <x:c r="D71" s="18"/>
      <x:c r="E71" s="20"/>
      <x:c r="F71" s="20"/>
      <x:c r="G71" s="20"/>
      <x:c r="H71" s="20"/>
      <x:c r="I71" s="20"/>
      <x:c r="J71" s="20"/>
      <x:c r="K71" s="24"/>
      <x:c r="L71" s="27"/>
      <x:c r="M71" s="27"/>
      <x:c r="N71" s="18"/>
      <x:c r="O71" s="20"/>
      <x:c r="P71" s="20"/>
      <x:c r="Q71" s="20"/>
      <x:c r="R71" s="20"/>
      <x:c r="S71" s="20"/>
      <x:c r="T71" s="20"/>
    </x:row>
    <x:row r="72" s="1" customFormat="1">
      <x:c r="A72" s="20"/>
      <x:c r="B72" s="18"/>
      <x:c r="C72" s="18"/>
      <x:c r="D72" s="18"/>
      <x:c r="E72" s="20"/>
      <x:c r="F72" s="20"/>
      <x:c r="G72" s="20"/>
      <x:c r="H72" s="20"/>
      <x:c r="I72" s="20"/>
      <x:c r="J72" s="20"/>
      <x:c r="K72" s="24"/>
      <x:c r="L72" s="27"/>
      <x:c r="M72" s="27"/>
      <x:c r="N72" s="18"/>
      <x:c r="O72" s="20"/>
      <x:c r="P72" s="20"/>
      <x:c r="Q72" s="20"/>
      <x:c r="R72" s="20"/>
      <x:c r="S72" s="20"/>
      <x:c r="T72" s="20"/>
    </x:row>
    <x:row r="73" s="1" customFormat="1">
      <x:c r="A73" s="20"/>
      <x:c r="B73" s="18"/>
      <x:c r="C73" s="18"/>
      <x:c r="D73" s="18"/>
      <x:c r="E73" s="20"/>
      <x:c r="F73" s="20"/>
      <x:c r="G73" s="20"/>
      <x:c r="H73" s="20"/>
      <x:c r="I73" s="20"/>
      <x:c r="J73" s="20"/>
      <x:c r="K73" s="24"/>
      <x:c r="L73" s="27"/>
      <x:c r="M73" s="27"/>
      <x:c r="N73" s="18"/>
      <x:c r="O73" s="20"/>
      <x:c r="P73" s="20"/>
      <x:c r="Q73" s="20"/>
      <x:c r="R73" s="20"/>
      <x:c r="S73" s="20"/>
      <x:c r="T73" s="20"/>
    </x:row>
    <x:row r="74" s="1" customFormat="1">
      <x:c r="A74" s="20"/>
      <x:c r="B74" s="18"/>
      <x:c r="C74" s="18"/>
      <x:c r="D74" s="18"/>
      <x:c r="E74" s="20"/>
      <x:c r="F74" s="20"/>
      <x:c r="G74" s="20"/>
      <x:c r="H74" s="20"/>
      <x:c r="I74" s="20"/>
      <x:c r="J74" s="20"/>
      <x:c r="K74" s="24"/>
      <x:c r="L74" s="27"/>
      <x:c r="M74" s="27"/>
      <x:c r="N74" s="18"/>
      <x:c r="O74" s="20"/>
      <x:c r="P74" s="20"/>
      <x:c r="Q74" s="20"/>
      <x:c r="R74" s="20"/>
      <x:c r="S74" s="20"/>
      <x:c r="T74" s="20"/>
    </x:row>
    <x:row r="75" s="1" customFormat="1">
      <x:c r="A75" s="20"/>
      <x:c r="B75" s="18"/>
      <x:c r="C75" s="18"/>
      <x:c r="D75" s="18"/>
      <x:c r="E75" s="20"/>
      <x:c r="F75" s="20"/>
      <x:c r="G75" s="20"/>
      <x:c r="H75" s="20"/>
      <x:c r="I75" s="20"/>
      <x:c r="J75" s="20"/>
      <x:c r="K75" s="24"/>
      <x:c r="L75" s="27"/>
      <x:c r="M75" s="27"/>
      <x:c r="N75" s="18"/>
      <x:c r="O75" s="20"/>
      <x:c r="P75" s="20"/>
      <x:c r="Q75" s="20"/>
      <x:c r="R75" s="20"/>
      <x:c r="S75" s="20"/>
      <x:c r="T75" s="20"/>
    </x:row>
    <x:row r="76" s="1" customFormat="1">
      <x:c r="A76" s="20"/>
      <x:c r="B76" s="18"/>
      <x:c r="C76" s="18"/>
      <x:c r="D76" s="18"/>
      <x:c r="E76" s="20"/>
      <x:c r="F76" s="20"/>
      <x:c r="G76" s="20"/>
      <x:c r="H76" s="20"/>
      <x:c r="I76" s="20"/>
      <x:c r="J76" s="20"/>
      <x:c r="K76" s="24"/>
      <x:c r="L76" s="27"/>
      <x:c r="M76" s="27"/>
      <x:c r="N76" s="18"/>
      <x:c r="O76" s="20"/>
      <x:c r="P76" s="20"/>
      <x:c r="Q76" s="20"/>
      <x:c r="R76" s="20"/>
      <x:c r="S76" s="20"/>
      <x:c r="T76" s="20"/>
    </x:row>
    <x:row r="77" s="1" customFormat="1">
      <x:c r="A77" s="20"/>
      <x:c r="B77" s="18"/>
      <x:c r="C77" s="18"/>
      <x:c r="D77" s="18"/>
      <x:c r="E77" s="20"/>
      <x:c r="F77" s="20"/>
      <x:c r="G77" s="20"/>
      <x:c r="H77" s="20"/>
      <x:c r="I77" s="20"/>
      <x:c r="J77" s="20"/>
      <x:c r="K77" s="24"/>
      <x:c r="L77" s="27"/>
      <x:c r="M77" s="27"/>
      <x:c r="N77" s="18"/>
      <x:c r="O77" s="20"/>
      <x:c r="P77" s="20"/>
      <x:c r="Q77" s="20"/>
      <x:c r="R77" s="20"/>
      <x:c r="S77" s="20"/>
      <x:c r="T77" s="20"/>
    </x:row>
    <x:row r="78" s="1" customFormat="1">
      <x:c r="A78" s="20"/>
      <x:c r="B78" s="18"/>
      <x:c r="C78" s="18"/>
      <x:c r="D78" s="18"/>
      <x:c r="E78" s="20"/>
      <x:c r="F78" s="20"/>
      <x:c r="G78" s="20"/>
      <x:c r="H78" s="20"/>
      <x:c r="I78" s="20"/>
      <x:c r="J78" s="20"/>
      <x:c r="K78" s="24"/>
      <x:c r="L78" s="27"/>
      <x:c r="M78" s="27"/>
      <x:c r="N78" s="18"/>
      <x:c r="O78" s="20"/>
      <x:c r="P78" s="20"/>
      <x:c r="Q78" s="20"/>
      <x:c r="R78" s="20"/>
      <x:c r="S78" s="20"/>
      <x:c r="T78" s="20"/>
    </x:row>
    <x:row r="79" s="1" customFormat="1">
      <x:c r="A79" s="20"/>
      <x:c r="B79" s="18"/>
      <x:c r="C79" s="18"/>
      <x:c r="D79" s="18"/>
      <x:c r="E79" s="20"/>
      <x:c r="F79" s="20"/>
      <x:c r="G79" s="20"/>
      <x:c r="H79" s="20"/>
      <x:c r="I79" s="20"/>
      <x:c r="J79" s="20"/>
      <x:c r="K79" s="24"/>
      <x:c r="L79" s="27"/>
      <x:c r="M79" s="27"/>
      <x:c r="N79" s="18"/>
      <x:c r="O79" s="20"/>
      <x:c r="P79" s="20"/>
      <x:c r="Q79" s="20"/>
      <x:c r="R79" s="20"/>
      <x:c r="S79" s="20"/>
      <x:c r="T79" s="20"/>
    </x:row>
    <x:row r="80" s="1" customFormat="1">
      <x:c r="A80" s="20"/>
      <x:c r="B80" s="18"/>
      <x:c r="C80" s="18"/>
      <x:c r="D80" s="18"/>
      <x:c r="E80" s="20"/>
      <x:c r="F80" s="20"/>
      <x:c r="G80" s="20"/>
      <x:c r="H80" s="20"/>
      <x:c r="I80" s="20"/>
      <x:c r="J80" s="20"/>
      <x:c r="K80" s="24"/>
      <x:c r="L80" s="27"/>
      <x:c r="M80" s="27"/>
      <x:c r="N80" s="18"/>
      <x:c r="O80" s="20"/>
      <x:c r="P80" s="20"/>
      <x:c r="Q80" s="20"/>
      <x:c r="R80" s="20"/>
      <x:c r="S80" s="20"/>
      <x:c r="T80" s="20"/>
    </x:row>
    <x:row r="81" s="1" customFormat="1">
      <x:c r="A81" s="20"/>
      <x:c r="B81" s="18"/>
      <x:c r="C81" s="18"/>
      <x:c r="D81" s="18"/>
      <x:c r="E81" s="20"/>
      <x:c r="F81" s="20"/>
      <x:c r="G81" s="20"/>
      <x:c r="H81" s="20"/>
      <x:c r="I81" s="20"/>
      <x:c r="J81" s="20"/>
      <x:c r="K81" s="24"/>
      <x:c r="L81" s="27"/>
      <x:c r="M81" s="27"/>
      <x:c r="N81" s="18"/>
      <x:c r="O81" s="20"/>
      <x:c r="P81" s="20"/>
      <x:c r="Q81" s="20"/>
      <x:c r="R81" s="20"/>
      <x:c r="S81" s="20"/>
      <x:c r="T81" s="20"/>
    </x:row>
    <x:row r="82" s="1" customFormat="1">
      <x:c r="A82" s="20"/>
      <x:c r="B82" s="18"/>
      <x:c r="C82" s="18"/>
      <x:c r="D82" s="18"/>
      <x:c r="E82" s="20"/>
      <x:c r="F82" s="20"/>
      <x:c r="G82" s="20"/>
      <x:c r="H82" s="20"/>
      <x:c r="I82" s="20"/>
      <x:c r="J82" s="20"/>
      <x:c r="K82" s="24"/>
      <x:c r="L82" s="27"/>
      <x:c r="M82" s="27"/>
      <x:c r="N82" s="18"/>
      <x:c r="O82" s="20"/>
      <x:c r="P82" s="20"/>
      <x:c r="Q82" s="20"/>
      <x:c r="R82" s="20"/>
      <x:c r="S82" s="20"/>
      <x:c r="T82" s="20"/>
    </x:row>
    <x:row r="83" s="1" customFormat="1">
      <x:c r="A83" s="20"/>
      <x:c r="B83" s="18"/>
      <x:c r="C83" s="18"/>
      <x:c r="D83" s="18"/>
      <x:c r="E83" s="20"/>
      <x:c r="F83" s="20"/>
      <x:c r="G83" s="20"/>
      <x:c r="H83" s="20"/>
      <x:c r="I83" s="20"/>
      <x:c r="J83" s="20"/>
      <x:c r="K83" s="24"/>
      <x:c r="L83" s="27"/>
      <x:c r="M83" s="27"/>
      <x:c r="N83" s="18"/>
      <x:c r="O83" s="20"/>
      <x:c r="P83" s="20"/>
      <x:c r="Q83" s="20"/>
      <x:c r="R83" s="20"/>
      <x:c r="S83" s="20"/>
      <x:c r="T83" s="20"/>
    </x:row>
    <x:row r="84" s="1" customFormat="1">
      <x:c r="A84" s="20"/>
      <x:c r="B84" s="18"/>
      <x:c r="C84" s="18"/>
      <x:c r="D84" s="18"/>
      <x:c r="E84" s="20"/>
      <x:c r="F84" s="20"/>
      <x:c r="G84" s="20"/>
      <x:c r="H84" s="20"/>
      <x:c r="I84" s="20"/>
      <x:c r="J84" s="20"/>
      <x:c r="K84" s="24"/>
      <x:c r="L84" s="27"/>
      <x:c r="M84" s="27"/>
      <x:c r="N84" s="18"/>
      <x:c r="O84" s="20"/>
      <x:c r="P84" s="20"/>
      <x:c r="Q84" s="20"/>
      <x:c r="R84" s="20"/>
      <x:c r="S84" s="20"/>
      <x:c r="T84" s="20"/>
    </x:row>
    <x:row r="85" s="1" customFormat="1">
      <x:c r="A85" s="20"/>
      <x:c r="B85" s="18"/>
      <x:c r="C85" s="18"/>
      <x:c r="D85" s="18"/>
      <x:c r="E85" s="20"/>
      <x:c r="F85" s="20"/>
      <x:c r="G85" s="20"/>
      <x:c r="H85" s="20"/>
      <x:c r="I85" s="20"/>
      <x:c r="J85" s="20"/>
      <x:c r="K85" s="24"/>
      <x:c r="L85" s="27"/>
      <x:c r="M85" s="27"/>
      <x:c r="N85" s="18"/>
      <x:c r="O85" s="20"/>
      <x:c r="P85" s="20"/>
      <x:c r="Q85" s="20"/>
      <x:c r="R85" s="20"/>
      <x:c r="S85" s="20"/>
      <x:c r="T85" s="20"/>
    </x:row>
    <x:row r="86" s="1" customFormat="1">
      <x:c r="A86" s="20"/>
      <x:c r="B86" s="18"/>
      <x:c r="C86" s="18"/>
      <x:c r="D86" s="18"/>
      <x:c r="E86" s="20"/>
      <x:c r="F86" s="20"/>
      <x:c r="G86" s="20"/>
      <x:c r="H86" s="20"/>
      <x:c r="I86" s="20"/>
      <x:c r="J86" s="20"/>
      <x:c r="K86" s="24"/>
      <x:c r="L86" s="27"/>
      <x:c r="M86" s="27"/>
      <x:c r="N86" s="18"/>
      <x:c r="O86" s="20"/>
      <x:c r="P86" s="20"/>
      <x:c r="Q86" s="20"/>
      <x:c r="R86" s="20"/>
      <x:c r="S86" s="20"/>
      <x:c r="T86" s="20"/>
    </x:row>
    <x:row r="87" s="1" customFormat="1">
      <x:c r="A87" s="20"/>
      <x:c r="B87" s="18"/>
      <x:c r="C87" s="18"/>
      <x:c r="D87" s="18"/>
      <x:c r="E87" s="20"/>
      <x:c r="F87" s="20"/>
      <x:c r="G87" s="20"/>
      <x:c r="H87" s="20"/>
      <x:c r="I87" s="20"/>
      <x:c r="J87" s="20"/>
      <x:c r="K87" s="24"/>
      <x:c r="L87" s="27"/>
      <x:c r="M87" s="27"/>
      <x:c r="N87" s="18"/>
      <x:c r="O87" s="20"/>
      <x:c r="P87" s="20"/>
      <x:c r="Q87" s="20"/>
      <x:c r="R87" s="20"/>
      <x:c r="S87" s="20"/>
      <x:c r="T87" s="20"/>
    </x:row>
    <x:row r="88" s="1" customFormat="1">
      <x:c r="A88" s="20"/>
      <x:c r="B88" s="18"/>
      <x:c r="C88" s="18"/>
      <x:c r="D88" s="18"/>
      <x:c r="E88" s="20"/>
      <x:c r="F88" s="20"/>
      <x:c r="G88" s="20"/>
      <x:c r="H88" s="20"/>
      <x:c r="I88" s="20"/>
      <x:c r="J88" s="20"/>
      <x:c r="K88" s="24"/>
      <x:c r="L88" s="27"/>
      <x:c r="M88" s="27"/>
      <x:c r="N88" s="18"/>
      <x:c r="O88" s="20"/>
      <x:c r="P88" s="20"/>
      <x:c r="Q88" s="20"/>
      <x:c r="R88" s="20"/>
      <x:c r="S88" s="20"/>
      <x:c r="T88" s="20"/>
    </x:row>
    <x:row r="89" s="1" customFormat="1">
      <x:c r="A89" s="20"/>
      <x:c r="B89" s="18"/>
      <x:c r="C89" s="18"/>
      <x:c r="D89" s="18"/>
      <x:c r="E89" s="20"/>
      <x:c r="F89" s="20"/>
      <x:c r="G89" s="20"/>
      <x:c r="H89" s="20"/>
      <x:c r="I89" s="20"/>
      <x:c r="J89" s="20"/>
      <x:c r="K89" s="24"/>
      <x:c r="L89" s="27"/>
      <x:c r="M89" s="27"/>
      <x:c r="N89" s="18"/>
      <x:c r="O89" s="20"/>
      <x:c r="P89" s="20"/>
      <x:c r="Q89" s="20"/>
      <x:c r="R89" s="20"/>
      <x:c r="S89" s="20"/>
      <x:c r="T89" s="20"/>
    </x:row>
    <x:row r="90" s="1" customFormat="1">
      <x:c r="A90" s="20"/>
      <x:c r="B90" s="18"/>
      <x:c r="C90" s="18"/>
      <x:c r="D90" s="18"/>
      <x:c r="E90" s="20"/>
      <x:c r="F90" s="20"/>
      <x:c r="G90" s="20"/>
      <x:c r="H90" s="20"/>
      <x:c r="I90" s="20"/>
      <x:c r="J90" s="20"/>
      <x:c r="K90" s="24"/>
      <x:c r="L90" s="27"/>
      <x:c r="M90" s="27"/>
      <x:c r="N90" s="18"/>
      <x:c r="O90" s="20"/>
      <x:c r="P90" s="20"/>
      <x:c r="Q90" s="20"/>
      <x:c r="R90" s="20"/>
      <x:c r="S90" s="20"/>
      <x:c r="T90" s="20"/>
    </x:row>
    <x:row r="91" s="1" customFormat="1">
      <x:c r="A91" s="20"/>
      <x:c r="B91" s="18"/>
      <x:c r="C91" s="18"/>
      <x:c r="D91" s="18"/>
      <x:c r="E91" s="20"/>
      <x:c r="F91" s="20"/>
      <x:c r="G91" s="20"/>
      <x:c r="H91" s="20"/>
      <x:c r="I91" s="20"/>
      <x:c r="J91" s="20"/>
      <x:c r="K91" s="24"/>
      <x:c r="L91" s="27"/>
      <x:c r="M91" s="27"/>
      <x:c r="N91" s="18"/>
      <x:c r="O91" s="20"/>
      <x:c r="P91" s="20"/>
      <x:c r="Q91" s="20"/>
      <x:c r="R91" s="20"/>
      <x:c r="S91" s="20"/>
      <x:c r="T91" s="20"/>
    </x:row>
    <x:row r="92" s="1" customFormat="1">
      <x:c r="A92" s="20"/>
      <x:c r="B92" s="18"/>
      <x:c r="C92" s="18"/>
      <x:c r="D92" s="18"/>
      <x:c r="E92" s="20"/>
      <x:c r="F92" s="20"/>
      <x:c r="G92" s="20"/>
      <x:c r="H92" s="20"/>
      <x:c r="I92" s="20"/>
      <x:c r="J92" s="20"/>
      <x:c r="K92" s="24"/>
      <x:c r="L92" s="27"/>
      <x:c r="M92" s="27"/>
      <x:c r="N92" s="18"/>
      <x:c r="O92" s="20"/>
      <x:c r="P92" s="20"/>
      <x:c r="Q92" s="20"/>
      <x:c r="R92" s="20"/>
      <x:c r="S92" s="20"/>
      <x:c r="T92" s="20"/>
    </x:row>
    <x:row r="93" s="1" customFormat="1">
      <x:c r="A93" s="20"/>
      <x:c r="B93" s="18"/>
      <x:c r="C93" s="18"/>
      <x:c r="D93" s="18"/>
      <x:c r="E93" s="20"/>
      <x:c r="F93" s="20"/>
      <x:c r="G93" s="20"/>
      <x:c r="H93" s="20"/>
      <x:c r="I93" s="20"/>
      <x:c r="J93" s="20"/>
      <x:c r="K93" s="24"/>
      <x:c r="L93" s="27"/>
      <x:c r="M93" s="27"/>
      <x:c r="N93" s="18"/>
      <x:c r="O93" s="20"/>
      <x:c r="P93" s="20"/>
      <x:c r="Q93" s="20"/>
      <x:c r="R93" s="20"/>
      <x:c r="S93" s="20"/>
      <x:c r="T93" s="20"/>
    </x:row>
    <x:row r="94" s="1" customFormat="1">
      <x:c r="A94" s="20"/>
      <x:c r="B94" s="18"/>
      <x:c r="C94" s="18"/>
      <x:c r="D94" s="18"/>
      <x:c r="E94" s="20"/>
      <x:c r="F94" s="20"/>
      <x:c r="G94" s="20"/>
      <x:c r="H94" s="20"/>
      <x:c r="I94" s="20"/>
      <x:c r="J94" s="20"/>
      <x:c r="K94" s="24"/>
      <x:c r="L94" s="27"/>
      <x:c r="M94" s="27"/>
      <x:c r="N94" s="18"/>
      <x:c r="O94" s="20"/>
      <x:c r="P94" s="20"/>
      <x:c r="Q94" s="20"/>
      <x:c r="R94" s="20"/>
      <x:c r="S94" s="20"/>
      <x:c r="T94" s="20"/>
    </x:row>
    <x:row r="95" s="1" customFormat="1">
      <x:c r="A95" s="20"/>
      <x:c r="B95" s="18"/>
      <x:c r="C95" s="18"/>
      <x:c r="D95" s="18"/>
      <x:c r="E95" s="20"/>
      <x:c r="F95" s="20"/>
      <x:c r="G95" s="20"/>
      <x:c r="H95" s="20"/>
      <x:c r="I95" s="20"/>
      <x:c r="J95" s="20"/>
      <x:c r="K95" s="24"/>
      <x:c r="L95" s="27"/>
      <x:c r="M95" s="27"/>
      <x:c r="N95" s="18"/>
      <x:c r="O95" s="20"/>
      <x:c r="P95" s="20"/>
      <x:c r="Q95" s="20"/>
      <x:c r="R95" s="20"/>
      <x:c r="S95" s="20"/>
      <x:c r="T95" s="20"/>
    </x:row>
    <x:row r="96" s="1" customFormat="1">
      <x:c r="A96" s="20"/>
      <x:c r="B96" s="18"/>
      <x:c r="C96" s="18"/>
      <x:c r="D96" s="18"/>
      <x:c r="E96" s="20"/>
      <x:c r="F96" s="20"/>
      <x:c r="G96" s="20"/>
      <x:c r="H96" s="20"/>
      <x:c r="I96" s="20"/>
      <x:c r="J96" s="20"/>
      <x:c r="K96" s="24"/>
      <x:c r="L96" s="27"/>
      <x:c r="M96" s="27"/>
      <x:c r="N96" s="18"/>
      <x:c r="O96" s="20"/>
      <x:c r="P96" s="20"/>
      <x:c r="Q96" s="20"/>
      <x:c r="R96" s="20"/>
      <x:c r="S96" s="20"/>
      <x:c r="T96" s="20"/>
    </x:row>
    <x:row r="97" s="1" customFormat="1">
      <x:c r="A97" s="20"/>
      <x:c r="B97" s="18"/>
      <x:c r="C97" s="18"/>
      <x:c r="D97" s="18"/>
      <x:c r="E97" s="20"/>
      <x:c r="F97" s="20"/>
      <x:c r="G97" s="20"/>
      <x:c r="H97" s="20"/>
      <x:c r="I97" s="20"/>
      <x:c r="J97" s="20"/>
      <x:c r="K97" s="24"/>
      <x:c r="L97" s="27"/>
      <x:c r="M97" s="27"/>
      <x:c r="N97" s="18"/>
      <x:c r="O97" s="20"/>
      <x:c r="P97" s="20"/>
      <x:c r="Q97" s="20"/>
      <x:c r="R97" s="20"/>
      <x:c r="S97" s="20"/>
      <x:c r="T97" s="20"/>
    </x:row>
    <x:row r="98" s="1" customFormat="1">
      <x:c r="A98" s="20"/>
      <x:c r="B98" s="18"/>
      <x:c r="C98" s="18"/>
      <x:c r="D98" s="18"/>
      <x:c r="E98" s="20"/>
      <x:c r="F98" s="20"/>
      <x:c r="G98" s="20"/>
      <x:c r="H98" s="20"/>
      <x:c r="I98" s="20"/>
      <x:c r="J98" s="20"/>
      <x:c r="K98" s="24"/>
      <x:c r="L98" s="27"/>
      <x:c r="M98" s="27"/>
      <x:c r="N98" s="18"/>
      <x:c r="O98" s="20"/>
      <x:c r="P98" s="20"/>
      <x:c r="Q98" s="20"/>
      <x:c r="R98" s="20"/>
      <x:c r="S98" s="20"/>
      <x:c r="T98" s="20"/>
    </x:row>
    <x:row r="99" s="1" customFormat="1">
      <x:c r="A99" s="20"/>
      <x:c r="B99" s="18"/>
      <x:c r="C99" s="18"/>
      <x:c r="D99" s="18"/>
      <x:c r="E99" s="20"/>
      <x:c r="F99" s="20"/>
      <x:c r="G99" s="20"/>
      <x:c r="H99" s="20"/>
      <x:c r="I99" s="20"/>
      <x:c r="J99" s="20"/>
      <x:c r="K99" s="24"/>
      <x:c r="L99" s="27"/>
      <x:c r="M99" s="27"/>
      <x:c r="N99" s="18"/>
      <x:c r="O99" s="20"/>
      <x:c r="P99" s="20"/>
      <x:c r="Q99" s="20"/>
      <x:c r="R99" s="20"/>
      <x:c r="S99" s="20"/>
      <x:c r="T99" s="20"/>
    </x:row>
  </x:sheetData>
  <x:mergeCells>
    <x:mergeCell ref="A1:K1"/>
  </x:mergeCells>
  <x:conditionalFormatting sqref="E3:E99">
    <x:cfRule type="expression" dxfId="8" priority="10">
      <x:formula>$D3="Fixa"</x:formula>
    </x:cfRule>
  </x:conditionalFormatting>
  <x:conditionalFormatting sqref="F3:F99">
    <x:cfRule type="expression" dxfId="7" priority="11">
      <x:formula>OR($D3="Triangular",$D3="Beta-PERT",$D3="Uniforme")</x:formula>
    </x:cfRule>
  </x:conditionalFormatting>
  <x:conditionalFormatting sqref="G3:G99">
    <x:cfRule type="expression" dxfId="7" priority="12">
      <x:formula>OR($D3="Triangular",$D3="Beta-PERT")</x:formula>
    </x:cfRule>
  </x:conditionalFormatting>
  <x:conditionalFormatting sqref="H3:H99">
    <x:cfRule type="expression" dxfId="7" priority="13">
      <x:formula>OR($D3="Triangular",$D3="Beta-PERT",$D3="Uniforme")</x:formula>
    </x:cfRule>
  </x:conditionalFormatting>
  <x:conditionalFormatting sqref="I3:I99">
    <x:cfRule type="expression" dxfId="6" priority="14">
      <x:formula>OR($D3="Normal",$D3="Exponencial",$D3="Lognormal",$D3="Gama")</x:formula>
    </x:cfRule>
  </x:conditionalFormatting>
  <x:conditionalFormatting sqref="J3:J99">
    <x:cfRule type="expression" dxfId="6" priority="15">
      <x:formula>OR($D3="Normal",$D3="Lognormal",$D3="Gama")</x:formula>
    </x:cfRule>
  </x:conditionalFormatting>
  <x:conditionalFormatting sqref="O3:O99">
    <x:cfRule type="expression" dxfId="8" priority="16">
      <x:formula>$N3="Fixa"</x:formula>
    </x:cfRule>
  </x:conditionalFormatting>
  <x:conditionalFormatting sqref="P3:P99">
    <x:cfRule type="expression" dxfId="7" priority="17">
      <x:formula>OR($N3="Triangular",$N3="Beta-PERT",$N3="Uniforme")</x:formula>
    </x:cfRule>
  </x:conditionalFormatting>
  <x:conditionalFormatting sqref="Q3:Q99">
    <x:cfRule type="expression" dxfId="7" priority="18">
      <x:formula>OR($N3="Triangular",$N3="Beta-PERT")</x:formula>
    </x:cfRule>
  </x:conditionalFormatting>
  <x:conditionalFormatting sqref="R3:R99">
    <x:cfRule type="expression" dxfId="7" priority="19">
      <x:formula>OR($N3="Triangular",$N3="Beta-PERT",$N3="Uniforme")</x:formula>
    </x:cfRule>
  </x:conditionalFormatting>
  <x:conditionalFormatting sqref="S3:S99">
    <x:cfRule type="expression" dxfId="6" priority="20">
      <x:formula>OR($N3="Normal",$N3="Exponencial",$N3="Lognormal",$N3="Gama")</x:formula>
    </x:cfRule>
  </x:conditionalFormatting>
  <x:conditionalFormatting sqref="T3:T99">
    <x:cfRule type="expression" dxfId="6" priority="21">
      <x:formula>OR($N3="Normal",$N3="Lognormal",$N3="Gama")</x:formula>
    </x:cfRule>
  </x:conditionalFormatting>
  <x:dataValidations count="4">
    <x:dataValidation type="list" sqref="D3:D99">
      <x:formula1>"Fixa,Triangular,Beta-PERT,Uniforme,Normal,Exponencial,Lognormal,Gama"</x:formula1>
    </x:dataValidation>
    <x:dataValidation type="decimal" allowBlank="1" showErrorMessage="1" errorTitle="Invalid input" error="Enter a value from the documented options or range." sqref="K3:L99">
      <x:formula1>0</x:formula1>
      <x:formula2>1000000000000000</x:formula2>
    </x:dataValidation>
    <x:dataValidation type="list" showErrorMessage="1" error="Choose Fixed only or Fixed + time." sqref="M3:M99">
      <x:formula1>"Apenas fixo,Fixo + tempo"</x:formula1>
    </x:dataValidation>
    <x:dataValidation type="list" allowBlank="1" sqref="N3:N99">
      <x:formula1>"Fixa,Triangular,Beta-PERT,Uniforme,Normal,Exponencial,Lognormal,Gama"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b66f257f9144d7"/>
  </x:tableParts>
</x:worksheet>
</file>

<file path=xl/worksheets/sheet4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defaultRowHeight="30"/>
  <x:cols>
    <x:col min="1" max="1" width="7.75" style="2" customWidth="1"/>
    <x:col min="2" max="2" width="27.5" style="2" customWidth="1"/>
    <x:col min="3" max="3" width="39.625" style="2" customWidth="1"/>
    <x:col min="4" max="4" width="13.625" style="9" customWidth="1"/>
    <x:col min="5" max="5" width="12.875" style="9" customWidth="1"/>
    <x:col min="6" max="6" width="13.375" style="9" customWidth="1"/>
    <x:col min="7" max="7" width="8.5" style="9" customWidth="1"/>
    <x:col min="8" max="8" width="13.25" style="9" customWidth="1"/>
    <x:col min="9" max="9" width="28.125" style="2" customWidth="1"/>
    <x:col min="10" max="10" width="18.125" style="9" customWidth="1"/>
    <x:col min="11" max="11" width="18.875" style="9" customWidth="1"/>
    <x:col min="12" max="12" width="45.375" style="2" customWidth="1"/>
    <x:col min="13" max="13" width="11.75" style="9" customWidth="1"/>
    <x:col min="14" max="14" width="13.625" style="9" customWidth="1"/>
    <x:col min="15" max="15" width="42.125" style="2" customWidth="1"/>
    <x:col min="16" max="16" width="10" style="2" customWidth="1"/>
    <x:col min="17" max="17" width="13.125" style="9" customWidth="1"/>
    <x:col min="18" max="18" width="14.75" style="9" customWidth="1"/>
    <x:col min="19" max="19" width="56.25" style="2" customWidth="1"/>
    <x:col min="20" max="20" width="17.75" style="9" customWidth="1"/>
    <x:col min="21" max="21" width="25.625" style="2" customWidth="1"/>
    <x:col min="22" max="22" width="12.75" style="9" customWidth="1"/>
    <x:col min="23" max="23" width="16.75" style="9" customWidth="1"/>
    <x:col min="24" max="24" width="12.75" style="9" customWidth="1"/>
    <x:col min="25" max="25" width="14" style="9" customWidth="1"/>
    <x:col min="26" max="26" width="69.625" style="2" customWidth="1"/>
    <x:col min="27" max="16384" width="9" style="2" customWidth="0"/>
  </x:cols>
  <x:sheetData>
    <x:row r="1" s="1" customFormat="1" ht="30" customHeight="1">
      <x:c r="A1" s="53" t="inlineStr">
        <x:is>
          <x:t xml:space="preserve">3. Registro de riscos</x:t>
        </x:is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25"/>
      <x:c r="R1" s="25"/>
      <x:c r="S1" s="14"/>
      <x:c r="T1" s="25"/>
      <x:c r="U1" s="14"/>
      <x:c r="V1" s="25"/>
      <x:c r="W1" s="25"/>
      <x:c r="X1" s="25"/>
      <x:c r="Y1" s="25"/>
      <x:c r="Z1" s="14"/>
    </x:row>
    <x:row r="2" ht="51" customHeight="1">
      <x:c r="A2" s="78" t="inlineStr">
        <x:is>
          <x:t xml:space="preserve">ID_do_Risco</x:t>
        </x:is>
      </x:c>
      <x:c r="B2" s="78" t="inlineStr">
        <x:is>
          <x:t xml:space="preserve">Nome_do_Risco</x:t>
        </x:is>
      </x:c>
      <x:c r="C2" s="78" t="inlineStr">
        <x:is>
          <x:t xml:space="preserve">Enunciado_do_Risco</x:t>
        </x:is>
      </x:c>
      <x:c r="D2" s="78" t="inlineStr">
        <x:is>
          <x:t xml:space="preserve">Categoria</x:t>
        </x:is>
      </x:c>
      <x:c r="E2" s="78" t="inlineStr">
        <x:is>
          <x:t xml:space="preserve">Tipo_de_Risco</x:t>
        </x:is>
      </x:c>
      <x:c r="F2" s="78" t="inlineStr">
        <x:is>
          <x:t xml:space="preserve">Probabilidade</x:t>
        </x:is>
      </x:c>
      <x:c r="G2" s="78" t="inlineStr">
        <x:is>
          <x:t xml:space="preserve">Abrangencia</x:t>
        </x:is>
      </x:c>
      <x:c r="H2" s="78" t="inlineStr">
        <x:is>
          <x:t xml:space="preserve">Tipo_de_Impacto</x:t>
        </x:is>
      </x:c>
      <x:c r="I2" s="78" t="inlineStr">
        <x:is>
          <x:t xml:space="preserve">Gatilho_Causa</x:t>
        </x:is>
      </x:c>
      <x:c r="J2" s="78" t="inlineStr">
        <x:is>
          <x:t xml:space="preserve">Responsavel</x:t>
        </x:is>
      </x:c>
      <x:c r="K2" s="78" t="inlineStr">
        <x:is>
          <x:t xml:space="preserve">Estrategia_de_Resposta</x:t>
        </x:is>
      </x:c>
      <x:c r="L2" s="78" t="inlineStr">
        <x:is>
          <x:t xml:space="preserve">Acao_de_Resposta</x:t>
        </x:is>
      </x:c>
      <x:c r="M2" s="78" t="inlineStr">
        <x:is>
          <x:t xml:space="preserve">Situacao</x:t>
        </x:is>
      </x:c>
      <x:c r="N2" s="78" t="inlineStr">
        <x:is>
          <x:t xml:space="preserve">Distribuicao_Padrao_do_Impacto</x:t>
        </x:is>
      </x:c>
      <x:c r="O2" s="78" t="inlineStr">
        <x:is>
          <x:t xml:space="preserve">Observacoes</x:t>
        </x:is>
      </x:c>
      <x:c r="P2" s="78" t="inlineStr">
        <x:is>
          <x:t xml:space="preserve">Ativo</x:t>
        </x:is>
      </x:c>
      <x:c r="Q2" s="78" t="inlineStr">
        <x:is>
          <x:t xml:space="preserve">Impacto_Qualitativo_no_Prazo</x:t>
        </x:is>
      </x:c>
      <x:c r="R2" s="78" t="inlineStr">
        <x:is>
          <x:t xml:space="preserve">Impacto_Qualitativo_no_Custo</x:t>
        </x:is>
      </x:c>
      <x:c r="S2" s="79" t="inlineStr">
        <x:is>
          <x:t xml:space="preserve">Justificativa_da_Avaliacao</x:t>
        </x:is>
      </x:c>
      <x:c r="T2" s="78" t="inlineStr">
        <x:is>
          <x:t xml:space="preserve">Responsavel_pela_Resposta</x:t>
        </x:is>
      </x:c>
      <x:c r="U2" s="79" t="inlineStr">
        <x:is>
          <x:t xml:space="preserve">Prazo_da_Resposta</x:t>
        </x:is>
      </x:c>
      <x:c r="V2" s="78" t="inlineStr">
        <x:is>
          <x:t xml:space="preserve">Probabilidade_Residual</x:t>
        </x:is>
      </x:c>
      <x:c r="W2" s="78" t="inlineStr">
        <x:is>
          <x:t xml:space="preserve">Impacto_Residual_no_Prazo</x:t>
        </x:is>
      </x:c>
      <x:c r="X2" s="78" t="inlineStr">
        <x:is>
          <x:t xml:space="preserve">Impacto_Residual_no_Custo</x:t>
        </x:is>
      </x:c>
      <x:c r="Y2" s="78" t="inlineStr">
        <x:is>
          <x:t xml:space="preserve">Aceitacao_Residual</x:t>
        </x:is>
      </x:c>
      <x:c r="Z2" s="79" t="inlineStr">
        <x:is>
          <x:t xml:space="preserve">Justificativa_Residual</x:t>
        </x:is>
      </x:c>
    </x:row>
    <x:row r="3" ht="96" customHeight="1">
      <x:c r="A3" s="6" t="s">
        <x:v>50</x:v>
      </x:c>
      <x:c r="B3" s="131" t="inlineStr">
        <x:is>
          <x:t xml:space="preserve">Atraso na entrega de materiais críticos</x:t>
        </x:is>
      </x:c>
      <x:c r="C3" s="131" t="inlineStr">
        <x:is>
          <x:t xml:space="preserve">Materiais críticos de estrutura ou acabamento podem chegar depois do necessário.</x:t>
        </x:is>
      </x:c>
      <x:c r="D3" s="133" t="inlineStr">
        <x:is>
          <x:t xml:space="preserve">Suprimentos</x:t>
        </x:is>
      </x:c>
      <x:c r="E3" s="133" t="inlineStr">
        <x:is>
          <x:t xml:space="preserve">Ameaça</x:t>
        </x:is>
      </x:c>
      <x:c r="F3" s="35">
        <x:v>0.3</x:v>
      </x:c>
      <x:c r="G3" s="19" t="s">
        <x:v>51</x:v>
      </x:c>
      <x:c r="H3" s="133" t="inlineStr">
        <x:is>
          <x:t xml:space="preserve">Duração</x:t>
        </x:is>
      </x:c>
      <x:c r="I3" s="134" t="inlineStr">
        <x:is>
          <x:t xml:space="preserve">Interrupção do fornecedor / atraso logístico</x:t>
        </x:is>
      </x:c>
      <x:c r="J3" s="135" t="inlineStr">
        <x:is>
          <x:t xml:space="preserve">Gerente de suprimentos</x:t>
        </x:is>
      </x:c>
      <x:c r="K3" s="136" t="inlineStr">
        <x:is>
          <x:t xml:space="preserve">Mitigar</x:t>
        </x:is>
      </x:c>
      <x:c r="L3" s="137" t="inlineStr">
        <x:is>
          <x:t xml:space="preserve">Aprovar previamente as especificações de materiais; encomendar itens de longo prazo de entrega e acordar acompanhamento das entregas e um fornecedor alternativo.</x:t>
        </x:is>
      </x:c>
      <x:c r="M3" s="136" t="inlineStr">
        <x:is>
          <x:t xml:space="preserve">Aberto</x:t>
        </x:is>
      </x:c>
      <x:c r="N3" s="135" t="inlineStr">
        <x:is>
          <x:t xml:space="preserve">Fixa</x:t>
        </x:is>
      </x:c>
      <x:c r="O3" s="134" t="inlineStr">
        <x:is>
          <x:t xml:space="preserve">Afeta atividades dependentes de materiais | As novas avaliações e respostas V2.2 são ilustrativas; a situação e o valor Ativo originais são preservados como atributos do cenário.</x:t>
        </x:is>
      </x:c>
      <x:c r="P3" s="17" t="b">
        <x:v>1</x:v>
      </x:c>
      <x:c r="Q3" s="32">
        <x:v>4</x:v>
      </x:c>
      <x:c r="R3" s="32">
        <x:v>3</x:v>
      </x:c>
      <x:c r="S3" s="138" t="inlineStr">
        <x:is>
          <x:t xml:space="preserve">Avaliação inicial de impacto ILUSTRATIVA: entregas críticas atrasadas podem paralisar fundações, estruturas ou fechamentos; o atraso também aumenta custos proporcionais ao tempo.</x:t>
        </x:is>
      </x:c>
      <x:c r="T3" s="139" t="inlineStr">
        <x:is>
          <x:t xml:space="preserve">Gerente de suprimentos</x:t>
        </x:is>
      </x:c>
      <x:c r="U3" s="140" t="inlineStr">
        <x:is>
          <x:t xml:space="preserve">Antes das fundações A05</x:t>
        </x:is>
      </x:c>
      <x:c r="V3" s="33">
        <x:v>0.18</x:v>
      </x:c>
      <x:c r="W3" s="32">
        <x:v>3</x:v>
      </x:c>
      <x:c r="X3" s="32">
        <x:v>2</x:v>
      </x:c>
      <x:c r="Y3" s="139" t="inlineStr">
        <x:is>
          <x:t xml:space="preserve">Pendente</x:t>
        </x:is>
      </x:c>
      <x:c r="Z3" s="138" t="inlineStr">
        <x:is>
          <x:t xml:space="preserve">Exposição ILUSTRATIVA à ameaça após resposta; Compras antecipadas reduzem interrupções de entrega; atrasos remanescentes ainda geram custos temporais. Não é estimativa de simulação nem decisão aprovada de aceitação.</x:t>
        </x:is>
      </x:c>
    </x:row>
    <x:row r="4" ht="81" customHeight="1">
      <x:c r="A4" s="6" t="s">
        <x:v>52</x:v>
      </x:c>
      <x:c r="B4" s="131" t="inlineStr">
        <x:is>
          <x:t xml:space="preserve">Maior produtividade das equipes</x:t>
        </x:is>
      </x:c>
      <x:c r="C4" s="131" t="inlineStr">
        <x:is>
          <x:t xml:space="preserve">Equipes experientes podem concluir tarefas repetitivas mais rapidamente que o planejado.</x:t>
        </x:is>
      </x:c>
      <x:c r="D4" s="133" t="inlineStr">
        <x:is>
          <x:t xml:space="preserve">Operacional</x:t>
        </x:is>
      </x:c>
      <x:c r="E4" s="133" t="inlineStr">
        <x:is>
          <x:t xml:space="preserve">Oportunidade</x:t>
        </x:is>
      </x:c>
      <x:c r="F4" s="35">
        <x:v>0.22</x:v>
      </x:c>
      <x:c r="G4" s="19" t="s">
        <x:v>51</x:v>
      </x:c>
      <x:c r="H4" s="133" t="inlineStr">
        <x:is>
          <x:t xml:space="preserve">Duração</x:t>
        </x:is>
      </x:c>
      <x:c r="I4" s="134" t="inlineStr">
        <x:is>
          <x:t xml:space="preserve">Curva de aprendizagem / equipe estável</x:t>
        </x:is>
      </x:c>
      <x:c r="J4" s="135" t="inlineStr">
        <x:is>
          <x:t xml:space="preserve">Gerente de obra</x:t>
        </x:is>
      </x:c>
      <x:c r="K4" s="136" t="inlineStr">
        <x:is>
          <x:t xml:space="preserve">Explorar</x:t>
        </x:is>
      </x:c>
      <x:c r="L4" s="137" t="inlineStr">
        <x:is>
          <x:t xml:space="preserve">Designar equipes experientes e estáveis para trabalhos repetitivos; usar acompanhamento semanal da produtividade e orientação.</x:t>
        </x:is>
      </x:c>
      <x:c r="M4" s="136" t="inlineStr">
        <x:is>
          <x:t xml:space="preserve">Em monitoramento</x:t>
        </x:is>
      </x:c>
      <x:c r="N4" s="21" t="s">
        <x:v>16</x:v>
      </x:c>
      <x:c r="O4" s="134" t="inlineStr">
        <x:is>
          <x:t xml:space="preserve">Oportunidade de prazo | As novas avaliações e respostas V2.2 são ilustrativas; a situação e o valor Ativo originais são preservados como atributos do cenário.</x:t>
        </x:is>
      </x:c>
      <x:c r="P4" s="17" t="b">
        <x:v>1</x:v>
      </x:c>
      <x:c r="Q4" s="32">
        <x:v>3</x:v>
      </x:c>
      <x:c r="R4" s="32">
        <x:v>2</x:v>
      </x:c>
      <x:c r="S4" s="138" t="inlineStr">
        <x:is>
          <x:t xml:space="preserve">Avaliação inicial de impacto ILUSTRATIVA: aprendizagem e equipes estáveis podem abreviar tarefas repetitivas e reduzir custos de recursos dependentes do tempo.</x:t>
        </x:is>
      </x:c>
      <x:c r="T4" s="139" t="inlineStr">
        <x:is>
          <x:t xml:space="preserve">Gerente de obra</x:t>
        </x:is>
      </x:c>
      <x:c r="U4" s="140" t="inlineStr">
        <x:is>
          <x:t xml:space="preserve">Antes da estrutura A07</x:t>
        </x:is>
      </x:c>
      <x:c r="V4" s="33">
        <x:v>0.32</x:v>
      </x:c>
      <x:c r="W4" s="32">
        <x:v>4</x:v>
      </x:c>
      <x:c r="X4" s="32">
        <x:v>3</x:v>
      </x:c>
      <x:c r="Y4" s="139" t="inlineStr">
        <x:is>
          <x:t xml:space="preserve">Pendente</x:t>
        </x:is>
      </x:c>
      <x:c r="Z4" s="138" t="inlineStr">
        <x:is>
          <x:t xml:space="preserve">Benefício ILUSTRATIVO da oportunidade após resposta; Equipes estáveis aumentam a probabilidade e a magnitude dos benefícios de prazo; custos proporcionais ao tempo caem com durações menores. Não é estimativa de simulação nem decisão aprovada de aceitação.</x:t>
        </x:is>
      </x:c>
    </x:row>
    <x:row r="5" ht="96" customHeight="1">
      <x:c r="A5" s="6" t="s">
        <x:v>53</x:v>
      </x:c>
      <x:c r="B5" s="131" t="inlineStr">
        <x:is>
          <x:t xml:space="preserve">Condições meteorológicas adversas</x:t>
        </x:is>
      </x:c>
      <x:c r="C5" s="131" t="inlineStr">
        <x:is>
          <x:t xml:space="preserve">Chuvas intensas ou condições meteorológicas extremas podem interromper trabalhos externos.</x:t>
        </x:is>
      </x:c>
      <x:c r="D5" s="133" t="inlineStr">
        <x:is>
          <x:t xml:space="preserve">Ambiental</x:t>
        </x:is>
      </x:c>
      <x:c r="E5" s="133" t="inlineStr">
        <x:is>
          <x:t xml:space="preserve">Ameaça</x:t>
        </x:is>
      </x:c>
      <x:c r="F5" s="35">
        <x:v>0.35</x:v>
      </x:c>
      <x:c r="G5" s="19" t="s">
        <x:v>51</x:v>
      </x:c>
      <x:c r="H5" s="133" t="inlineStr">
        <x:is>
          <x:t xml:space="preserve">Duração</x:t>
        </x:is>
      </x:c>
      <x:c r="I5" s="134" t="inlineStr">
        <x:is>
          <x:t xml:space="preserve">Condições meteorológicas sazonais</x:t>
        </x:is>
      </x:c>
      <x:c r="J5" s="135" t="inlineStr">
        <x:is>
          <x:t xml:space="preserve">Gerente do projeto</x:t>
        </x:is>
      </x:c>
      <x:c r="K5" s="136" t="inlineStr">
        <x:is>
          <x:t xml:space="preserve">Mitigar</x:t>
        </x:is>
      </x:c>
      <x:c r="L5" s="137" t="inlineStr">
        <x:is>
          <x:t xml:space="preserve">Planejar janelas de trabalho sensíveis ao clima; instalar drenagem provisória e coberturas de proteção.</x:t>
        </x:is>
      </x:c>
      <x:c r="M5" s="136" t="inlineStr">
        <x:is>
          <x:t xml:space="preserve">Em monitoramento</x:t>
        </x:is>
      </x:c>
      <x:c r="N5" s="21" t="s">
        <x:v>18</x:v>
      </x:c>
      <x:c r="O5" s="134" t="inlineStr">
        <x:is>
          <x:t xml:space="preserve">Principalmente serviços iniciais e externos | As novas avaliações e respostas V2.2 são ilustrativas; a situação e o valor Ativo originais são preservados como atributos do cenário.</x:t>
        </x:is>
      </x:c>
      <x:c r="P5" s="17" t="b">
        <x:v>1</x:v>
      </x:c>
      <x:c r="Q5" s="32">
        <x:v>4</x:v>
      </x:c>
      <x:c r="R5" s="32">
        <x:v>3</x:v>
      </x:c>
      <x:c r="S5" s="138" t="inlineStr">
        <x:is>
          <x:t xml:space="preserve">Avaliação inicial de impacto ILUSTRATIVA: a chuva pode interromper vários pacotes externos e prolongar a ocupação remunerada de recursos.</x:t>
        </x:is>
      </x:c>
      <x:c r="T5" s="139" t="inlineStr">
        <x:is>
          <x:t xml:space="preserve">Gerente do projeto</x:t>
        </x:is>
      </x:c>
      <x:c r="U5" s="140" t="inlineStr">
        <x:is>
          <x:t xml:space="preserve">Antes da terraplenagem A03</x:t>
        </x:is>
      </x:c>
      <x:c r="V5" s="33">
        <x:v>0.35</x:v>
      </x:c>
      <x:c r="W5" s="32">
        <x:v>3</x:v>
      </x:c>
      <x:c r="X5" s="32">
        <x:v>2</x:v>
      </x:c>
      <x:c r="Y5" s="139" t="inlineStr">
        <x:is>
          <x:t xml:space="preserve">Pendente</x:t>
        </x:is>
      </x:c>
      <x:c r="Z5" s="138" t="inlineStr">
        <x:is>
          <x:t xml:space="preserve">Exposição ILUSTRATIVA à ameaça após resposta; Controles reduzem a severidade da interrupção; não alteram a probabilidade de condições meteorológicas adversas. Não é estimativa de simulação nem decisão aprovada de aceitação.</x:t>
        </x:is>
      </x:c>
    </x:row>
    <x:row r="6" ht="81" customHeight="1">
      <x:c r="A6" s="6" t="s">
        <x:v>54</x:v>
      </x:c>
      <x:c r="B6" s="131" t="inlineStr">
        <x:is>
          <x:t xml:space="preserve">Condições imprevistas do solo</x:t>
        </x:is>
      </x:c>
      <x:c r="C6" s="131" t="inlineStr">
        <x:is>
          <x:t xml:space="preserve">Podem ser encontradas condições inesperadas de solo, água subterrânea ou obstáculos enterrados.</x:t>
        </x:is>
      </x:c>
      <x:c r="D6" s="133" t="inlineStr">
        <x:is>
          <x:t xml:space="preserve">Geotécnico</x:t>
        </x:is>
      </x:c>
      <x:c r="E6" s="133" t="inlineStr">
        <x:is>
          <x:t xml:space="preserve">Ameaça</x:t>
        </x:is>
      </x:c>
      <x:c r="F6" s="35">
        <x:v>0.18</x:v>
      </x:c>
      <x:c r="G6" s="19" t="s">
        <x:v>51</x:v>
      </x:c>
      <x:c r="H6" s="133" t="inlineStr">
        <x:is>
          <x:t xml:space="preserve">Ambos</x:t>
        </x:is>
      </x:c>
      <x:c r="I6" s="134" t="inlineStr">
        <x:is>
          <x:t xml:space="preserve">Informações incompletas do subsolo</x:t>
        </x:is>
      </x:c>
      <x:c r="J6" s="135" t="inlineStr">
        <x:is>
          <x:t xml:space="preserve">Engenheiro civil</x:t>
        </x:is>
      </x:c>
      <x:c r="K6" s="136" t="inlineStr">
        <x:is>
          <x:t xml:space="preserve">Mitigar</x:t>
        </x:is>
      </x:c>
      <x:c r="L6" s="137" t="inlineStr">
        <x:is>
          <x:t xml:space="preserve">Realizar investigação geotécnica direcionada, verificar o nível d'água e preparar um método de contingência para as fundações.</x:t>
        </x:is>
      </x:c>
      <x:c r="M6" s="136" t="inlineStr">
        <x:is>
          <x:t xml:space="preserve">Aberto</x:t>
        </x:is>
      </x:c>
      <x:c r="N6" s="21" t="s">
        <x:v>21</x:v>
      </x:c>
      <x:c r="O6" s="134" t="inlineStr">
        <x:is>
          <x:t xml:space="preserve">Exposição na etapa de fundações | As novas avaliações e respostas V2.2 são ilustrativas; a situação e o valor Ativo originais são preservados como atributos do cenário.</x:t>
        </x:is>
      </x:c>
      <x:c r="P6" s="17" t="b">
        <x:v>1</x:v>
      </x:c>
      <x:c r="Q6" s="32">
        <x:v>5</x:v>
      </x:c>
      <x:c r="R6" s="32">
        <x:v>5</x:v>
      </x:c>
      <x:c r="S6" s="138" t="inlineStr">
        <x:is>
          <x:t xml:space="preserve">Avaliação inicial de impacto ILUSTRATIVA: solo ou água subterrânea desconhecidos podem perturbar o sequenciamento da infraestrutura e exigir tratamento adicional substancial.</x:t>
        </x:is>
      </x:c>
      <x:c r="T6" s="139" t="inlineStr">
        <x:is>
          <x:t xml:space="preserve">Engenheiro civil</x:t>
        </x:is>
      </x:c>
      <x:c r="U6" s="140" t="inlineStr">
        <x:is>
          <x:t xml:space="preserve">Antes da escavação A04</x:t>
        </x:is>
      </x:c>
      <x:c r="V6" s="33">
        <x:v>0.18</x:v>
      </x:c>
      <x:c r="W6" s="32">
        <x:v>3</x:v>
      </x:c>
      <x:c r="X6" s="32">
        <x:v>4</x:v>
      </x:c>
      <x:c r="Y6" s="139" t="inlineStr">
        <x:is>
          <x:t xml:space="preserve">Pendente</x:t>
        </x:is>
      </x:c>
      <x:c r="Z6" s="138" t="inlineStr">
        <x:is>
          <x:t xml:space="preserve">Exposição ILUSTRATIVA à ameaça após resposta; A investigação não altera as condições do solo; a preparação reduz o atraso resultante e os custos adicionais de tratamento do solo. Não é estimativa de simulação nem decisão aprovada de aceitação.</x:t>
        </x:is>
      </x:c>
    </x:row>
    <x:row r="7" ht="81" customHeight="1">
      <x:c r="A7" s="6" t="s">
        <x:v>55</x:v>
      </x:c>
      <x:c r="B7" s="131" t="inlineStr">
        <x:is>
          <x:t xml:space="preserve">Alteração de projeto / esclarecimento tardio</x:t>
        </x:is>
      </x:c>
      <x:c r="C7" s="131" t="inlineStr">
        <x:is>
          <x:t xml:space="preserve">Revisões tardias de projeto ou detalhes não resolvidos podem causar retrabalho ou espera.</x:t>
        </x:is>
      </x:c>
      <x:c r="D7" s="133" t="inlineStr">
        <x:is>
          <x:t xml:space="preserve">Projeto técnico</x:t>
        </x:is>
      </x:c>
      <x:c r="E7" s="133" t="inlineStr">
        <x:is>
          <x:t xml:space="preserve">Ameaça</x:t>
        </x:is>
      </x:c>
      <x:c r="F7" s="35">
        <x:v>0.25</x:v>
      </x:c>
      <x:c r="G7" s="19" t="s">
        <x:v>51</x:v>
      </x:c>
      <x:c r="H7" s="133" t="inlineStr">
        <x:is>
          <x:t xml:space="preserve">Ambos</x:t>
        </x:is>
      </x:c>
      <x:c r="I7" s="134" t="inlineStr">
        <x:is>
          <x:t xml:space="preserve">Alterações do cliente / coordenação de projetos</x:t>
        </x:is>
      </x:c>
      <x:c r="J7" s="135" t="inlineStr">
        <x:is>
          <x:t xml:space="preserve">Gerente de projetos técnicos</x:t>
        </x:is>
      </x:c>
      <x:c r="K7" s="136" t="inlineStr">
        <x:is>
          <x:t xml:space="preserve">Mitigar</x:t>
        </x:is>
      </x:c>
      <x:c r="L7" s="137" t="inlineStr">
        <x:is>
          <x:t xml:space="preserve">Resolver solicitações de informação de projeto antes da liberação; coordenar revisões entre disciplinas e aplicar controle de mudanças.</x:t>
        </x:is>
      </x:c>
      <x:c r="M7" s="136" t="inlineStr">
        <x:is>
          <x:t xml:space="preserve">Aberto</x:t>
        </x:is>
      </x:c>
      <x:c r="N7" s="135" t="inlineStr">
        <x:is>
          <x:t xml:space="preserve">Fixa</x:t>
        </x:is>
      </x:c>
      <x:c r="O7" s="134" t="inlineStr">
        <x:is>
          <x:t xml:space="preserve">Pode afetar MEP e acabamentos | As novas avaliações e respostas V2.2 são ilustrativas; a situação e o valor Ativo originais são preservados como atributos do cenário.</x:t>
        </x:is>
      </x:c>
      <x:c r="P7" s="17" t="b">
        <x:v>1</x:v>
      </x:c>
      <x:c r="Q7" s="32">
        <x:v>4</x:v>
      </x:c>
      <x:c r="R7" s="32">
        <x:v>4</x:v>
      </x:c>
      <x:c r="S7" s="138" t="inlineStr">
        <x:is>
          <x:t xml:space="preserve">Avaliação inicial de impacto ILUSTRATIVA: decisões tardias de projeto podem bloquear várias frentes e exigir revisão de projeto ou retrabalho direto.</x:t>
        </x:is>
      </x:c>
      <x:c r="T7" s="139" t="inlineStr">
        <x:is>
          <x:t xml:space="preserve">Gerente de projetos técnicos</x:t>
        </x:is>
      </x:c>
      <x:c r="U7" s="140" t="inlineStr">
        <x:is>
          <x:t xml:space="preserve">Antes da estrutura A07</x:t>
        </x:is>
      </x:c>
      <x:c r="V7" s="33">
        <x:v>0.15</x:v>
      </x:c>
      <x:c r="W7" s="32">
        <x:v>3</x:v>
      </x:c>
      <x:c r="X7" s="32">
        <x:v>3</x:v>
      </x:c>
      <x:c r="Y7" s="139" t="inlineStr">
        <x:is>
          <x:t xml:space="preserve">Pendente</x:t>
        </x:is>
      </x:c>
      <x:c r="Z7" s="138" t="inlineStr">
        <x:is>
          <x:t xml:space="preserve">Exposição ILUSTRATIVA à ameaça após resposta; Desenhos liberados e coordenados reduzem alterações tardias e a revisão de projeto/retrabalho associada. Não é estimativa de simulação nem decisão aprovada de aceitação.</x:t>
        </x:is>
      </x:c>
    </x:row>
    <x:row r="8" ht="96" customHeight="1">
      <x:c r="A8" s="6" t="s">
        <x:v>56</x:v>
      </x:c>
      <x:c r="B8" s="131" t="inlineStr">
        <x:is>
          <x:t xml:space="preserve">Atraso de licença ou inspeção</x:t>
        </x:is>
      </x:c>
      <x:c r="C8" s="131" t="inlineStr">
        <x:is>
          <x:t xml:space="preserve">A análise ou inspeção exigida pelo órgão competente pode levar mais tempo que o planejado.</x:t>
        </x:is>
      </x:c>
      <x:c r="D8" s="133" t="inlineStr">
        <x:is>
          <x:t xml:space="preserve">Regulatório</x:t>
        </x:is>
      </x:c>
      <x:c r="E8" s="133" t="inlineStr">
        <x:is>
          <x:t xml:space="preserve">Ameaça</x:t>
        </x:is>
      </x:c>
      <x:c r="F8" s="35">
        <x:v>0.15</x:v>
      </x:c>
      <x:c r="G8" s="19" t="s">
        <x:v>51</x:v>
      </x:c>
      <x:c r="H8" s="133" t="inlineStr">
        <x:is>
          <x:t xml:space="preserve">Duração</x:t>
        </x:is>
      </x:c>
      <x:c r="I8" s="134" t="inlineStr">
        <x:is>
          <x:t xml:space="preserve">Carga de trabalho do órgão competente / não conformidade</x:t>
        </x:is>
      </x:c>
      <x:c r="J8" s="135" t="inlineStr">
        <x:is>
          <x:t xml:space="preserve">Gerente do projeto</x:t>
        </x:is>
      </x:c>
      <x:c r="K8" s="136" t="inlineStr">
        <x:is>
          <x:t xml:space="preserve">Mitigar</x:t>
        </x:is>
      </x:c>
      <x:c r="L8" s="137" t="inlineStr">
        <x:is>
          <x:t xml:space="preserve">Confirmar pontos de parada para inspeção, documentação exigida e antecedência de agendamento com o órgão competente.</x:t>
        </x:is>
      </x:c>
      <x:c r="M8" s="136" t="inlineStr">
        <x:is>
          <x:t xml:space="preserve">Encerrado</x:t>
        </x:is>
      </x:c>
      <x:c r="N8" s="21" t="s">
        <x:v>16</x:v>
      </x:c>
      <x:c r="O8" s="134" t="inlineStr">
        <x:is>
          <x:t xml:space="preserve">Etapas finais e pontos de parada selecionados | As novas avaliações e respostas V2.2 são ilustrativas; a situação e o valor Ativo originais são preservados como atributos do cenário.</x:t>
        </x:is>
      </x:c>
      <x:c r="P8" s="17" t="b">
        <x:v>1</x:v>
      </x:c>
      <x:c r="Q8" s="32">
        <x:v>4</x:v>
      </x:c>
      <x:c r="R8" s="32">
        <x:v>2</x:v>
      </x:c>
      <x:c r="S8" s="138" t="inlineStr">
        <x:is>
          <x:t xml:space="preserve">Avaliação inicial de impacto ILUSTRATIVA: a espera por inspeções pode bloquear pontos de parada ou a entrega; a exposição de custo é principalmente temporal.</x:t>
        </x:is>
      </x:c>
      <x:c r="T8" s="139" t="inlineStr">
        <x:is>
          <x:t xml:space="preserve">Gerente do projeto</x:t>
        </x:is>
      </x:c>
      <x:c r="U8" s="140" t="inlineStr">
        <x:is>
          <x:t xml:space="preserve">Antes do primeiro ponto de parada para inspeção mapeado</x:t>
        </x:is>
      </x:c>
      <x:c r="V8" s="33">
        <x:v>0.09</x:v>
      </x:c>
      <x:c r="W8" s="32">
        <x:v>3</x:v>
      </x:c>
      <x:c r="X8" s="32">
        <x:v>2</x:v>
      </x:c>
      <x:c r="Y8" s="139" t="inlineStr">
        <x:is>
          <x:t xml:space="preserve">Pendente</x:t>
        </x:is>
      </x:c>
      <x:c r="Z8" s="138" t="inlineStr">
        <x:is>
          <x:t xml:space="preserve">Exposição ILUSTRATIVA à ameaça após resposta; Documentação completa apresentada antecipadamente reduz a espera administrativa; a exposição às inspeções de etapas futuras permanece modelada. Não é estimativa de simulação nem decisão aprovada de aceitação.</x:t>
        </x:is>
      </x:c>
    </x:row>
    <x:row r="9" ht="96" customHeight="1">
      <x:c r="A9" s="6" t="s">
        <x:v>57</x:v>
      </x:c>
      <x:c r="B9" s="131" t="inlineStr">
        <x:is>
          <x:t xml:space="preserve">Escassez de mão de obra qualificada</x:t>
        </x:is>
      </x:c>
      <x:c r="C9" s="131" t="inlineStr">
        <x:is>
          <x:t xml:space="preserve">Mão de obra especializada ou qualificada pode não estar disponível quando necessária.</x:t>
        </x:is>
      </x:c>
      <x:c r="D9" s="133" t="inlineStr">
        <x:is>
          <x:t xml:space="preserve">Recursos</x:t>
        </x:is>
      </x:c>
      <x:c r="E9" s="133" t="inlineStr">
        <x:is>
          <x:t xml:space="preserve">Ameaça</x:t>
        </x:is>
      </x:c>
      <x:c r="F9" s="35">
        <x:v>0.24</x:v>
      </x:c>
      <x:c r="G9" s="19" t="s">
        <x:v>51</x:v>
      </x:c>
      <x:c r="H9" s="133" t="inlineStr">
        <x:is>
          <x:t xml:space="preserve">Ambos</x:t>
        </x:is>
      </x:c>
      <x:c r="I9" s="134" t="inlineStr">
        <x:is>
          <x:t xml:space="preserve">Restrições do mercado de trabalho</x:t>
        </x:is>
      </x:c>
      <x:c r="J9" s="135" t="inlineStr">
        <x:is>
          <x:t xml:space="preserve">Gerente de obra</x:t>
        </x:is>
      </x:c>
      <x:c r="K9" s="136" t="inlineStr">
        <x:is>
          <x:t xml:space="preserve">Mitigar</x:t>
        </x:is>
      </x:c>
      <x:c r="L9" s="137" t="inlineStr">
        <x:is>
          <x:t xml:space="preserve">Garantir compromissos de fornecimento de mão de obra e capacitar equipes de reserva antes da mobilização das especialidades.</x:t>
        </x:is>
      </x:c>
      <x:c r="M9" s="136" t="inlineStr">
        <x:is>
          <x:t xml:space="preserve">Aberto</x:t>
        </x:is>
      </x:c>
      <x:c r="N9" s="21" t="s">
        <x:v>18</x:v>
      </x:c>
      <x:c r="O9" s="134" t="inlineStr">
        <x:is>
          <x:t xml:space="preserve">Especialidades de estrutura, MEP e acabamentos | As novas avaliações e respostas V2.2 são ilustrativas; a situação e o valor Ativo originais são preservados como atributos do cenário.</x:t>
        </x:is>
      </x:c>
      <x:c r="P9" s="17" t="b">
        <x:v>1</x:v>
      </x:c>
      <x:c r="Q9" s="32">
        <x:v>4</x:v>
      </x:c>
      <x:c r="R9" s="32">
        <x:v>4</x:v>
      </x:c>
      <x:c r="S9" s="138" t="inlineStr">
        <x:is>
          <x:t xml:space="preserve">Avaliação inicial de impacto ILUSTRATIVA: a escassez de equipes qualificadas pode atrasar estrutura, MEP e acabamentos e aumentar custos de recrutamento ou horas extras.</x:t>
        </x:is>
      </x:c>
      <x:c r="T9" s="139" t="inlineStr">
        <x:is>
          <x:t xml:space="preserve">Gerente de obra</x:t>
        </x:is>
      </x:c>
      <x:c r="U9" s="140" t="inlineStr">
        <x:is>
          <x:t xml:space="preserve">Antes da estrutura A07</x:t>
        </x:is>
      </x:c>
      <x:c r="V9" s="33">
        <x:v>0.16</x:v>
      </x:c>
      <x:c r="W9" s="32">
        <x:v>3</x:v>
      </x:c>
      <x:c r="X9" s="32">
        <x:v>3</x:v>
      </x:c>
      <x:c r="Y9" s="139" t="inlineStr">
        <x:is>
          <x:t xml:space="preserve">Pendente</x:t>
        </x:is>
      </x:c>
      <x:c r="Z9" s="138" t="inlineStr">
        <x:is>
          <x:t xml:space="preserve">Exposição ILUSTRATIVA à ameaça após resposta; Compromissos de mão de obra reduzem escassez; equipes de reserva limitam atrasos e custos adicionais de recrutamento. Não é estimativa de simulação nem decisão aprovada de aceitação.</x:t>
        </x:is>
      </x:c>
    </x:row>
    <x:row r="10" ht="96" customHeight="1">
      <x:c r="A10" s="6" t="s">
        <x:v>58</x:v>
      </x:c>
      <x:c r="B10" s="131" t="inlineStr">
        <x:is>
          <x:t xml:space="preserve">Falha de equipamento</x:t>
        </x:is>
      </x:c>
      <x:c r="C10" s="131" t="inlineStr">
        <x:is>
          <x:t xml:space="preserve">Máquinas ou equipamentos críticos de construção podem falhar inesperadamente.</x:t>
        </x:is>
      </x:c>
      <x:c r="D10" s="133" t="inlineStr">
        <x:is>
          <x:t xml:space="preserve">Equipamentos</x:t>
        </x:is>
      </x:c>
      <x:c r="E10" s="133" t="inlineStr">
        <x:is>
          <x:t xml:space="preserve">Ameaça</x:t>
        </x:is>
      </x:c>
      <x:c r="F10" s="35">
        <x:v>0.16</x:v>
      </x:c>
      <x:c r="G10" s="19" t="s">
        <x:v>51</x:v>
      </x:c>
      <x:c r="H10" s="133" t="inlineStr">
        <x:is>
          <x:t xml:space="preserve">Ambos</x:t>
        </x:is>
      </x:c>
      <x:c r="I10" s="134" t="inlineStr">
        <x:is>
          <x:t xml:space="preserve">Falha mecânica / manutenção inadequada</x:t>
        </x:is>
      </x:c>
      <x:c r="J10" s="135" t="inlineStr">
        <x:is>
          <x:t xml:space="preserve">Gerente de equipamentos</x:t>
        </x:is>
      </x:c>
      <x:c r="K10" s="136" t="inlineStr">
        <x:is>
          <x:t xml:space="preserve">Mitigar</x:t>
        </x:is>
      </x:c>
      <x:c r="L10" s="137" t="inlineStr">
        <x:is>
          <x:t xml:space="preserve">Realizar manutenção preventiva e reservar equipamento substituto com prazos de atendimento acordados.</x:t>
        </x:is>
      </x:c>
      <x:c r="M10" s="136" t="inlineStr">
        <x:is>
          <x:t xml:space="preserve">Em monitoramento</x:t>
        </x:is>
      </x:c>
      <x:c r="N10" s="21" t="s">
        <x:v>21</x:v>
      </x:c>
      <x:c r="O10" s="134" t="inlineStr">
        <x:is>
          <x:t xml:space="preserve">Terraplenagem e serviços intensivos de içamento | As novas avaliações e respostas V2.2 são ilustrativas; a situação e o valor Ativo originais são preservados como atributos do cenário.</x:t>
        </x:is>
      </x:c>
      <x:c r="P10" s="17" t="b">
        <x:v>1</x:v>
      </x:c>
      <x:c r="Q10" s="32">
        <x:v>3</x:v>
      </x:c>
      <x:c r="R10" s="32">
        <x:v>3</x:v>
      </x:c>
      <x:c r="S10" s="138" t="inlineStr">
        <x:is>
          <x:t xml:space="preserve">Avaliação inicial de impacto ILUSTRATIVA: falhas de equipamentos podem atrasar serviços dependentes deles e exigir substituição emergencial ou reparos.</x:t>
        </x:is>
      </x:c>
      <x:c r="T10" s="139" t="inlineStr">
        <x:is>
          <x:t xml:space="preserve">Gerente de equipamentos</x:t>
        </x:is>
      </x:c>
      <x:c r="U10" s="140" t="inlineStr">
        <x:is>
          <x:t xml:space="preserve">Antes da terraplenagem A03</x:t>
        </x:is>
      </x:c>
      <x:c r="V10" s="33">
        <x:v>0.1</x:v>
      </x:c>
      <x:c r="W10" s="32">
        <x:v>2</x:v>
      </x:c>
      <x:c r="X10" s="32">
        <x:v>2</x:v>
      </x:c>
      <x:c r="Y10" s="139" t="inlineStr">
        <x:is>
          <x:t xml:space="preserve">Pendente</x:t>
        </x:is>
      </x:c>
      <x:c r="Z10" s="138" t="inlineStr">
        <x:is>
          <x:t xml:space="preserve">Exposição ILUSTRATIVA à ameaça após resposta; A manutenção reduz a probabilidade de falhas; acordos de substituição reduzem paralisações e custos emergenciais. Não é estimativa de simulação nem decisão aprovada de aceitação.</x:t>
        </x:is>
      </x:c>
    </x:row>
    <x:row r="11" ht="81" customHeight="1">
      <x:c r="A11" s="6" t="s">
        <x:v>59</x:v>
      </x:c>
      <x:c r="B11" s="131" t="inlineStr">
        <x:is>
          <x:t xml:space="preserve">Aumento dos preços de materiais</x:t>
        </x:is>
      </x:c>
      <x:c r="C11" s="131" t="inlineStr">
        <x:is>
          <x:t xml:space="preserve">Os preços de materiais principais podem exceder a premissa orçamentária.</x:t>
        </x:is>
      </x:c>
      <x:c r="D11" s="133" t="inlineStr">
        <x:is>
          <x:t xml:space="preserve">Comercial</x:t>
        </x:is>
      </x:c>
      <x:c r="E11" s="133" t="inlineStr">
        <x:is>
          <x:t xml:space="preserve">Ameaça</x:t>
        </x:is>
      </x:c>
      <x:c r="F11" s="35">
        <x:v>0.28000000000000003</x:v>
      </x:c>
      <x:c r="G11" s="19" t="s">
        <x:v>60</x:v>
      </x:c>
      <x:c r="H11" s="133" t="inlineStr">
        <x:is>
          <x:t xml:space="preserve">Custo</x:t>
        </x:is>
      </x:c>
      <x:c r="I11" s="134" t="inlineStr">
        <x:is>
          <x:t xml:space="preserve">Inflação de mercado / pressão cambial</x:t>
        </x:is>
      </x:c>
      <x:c r="J11" s="135" t="inlineStr">
        <x:is>
          <x:t xml:space="preserve">Gerente comercial</x:t>
        </x:is>
      </x:c>
      <x:c r="K11" s="136" t="inlineStr">
        <x:is>
          <x:t xml:space="preserve">Mitigar</x:t>
        </x:is>
      </x:c>
      <x:c r="L11" s="137" t="inlineStr">
        <x:is>
          <x:t xml:space="preserve">Acordar janelas de fornecimento a preço fixo e realizar compras competitivas dos principais pacotes de materiais.</x:t>
        </x:is>
      </x:c>
      <x:c r="M11" s="136" t="inlineStr">
        <x:is>
          <x:t xml:space="preserve">Em monitoramento</x:t>
        </x:is>
      </x:c>
      <x:c r="N11" s="135" t="inlineStr">
        <x:is>
          <x:t xml:space="preserve">Fixa</x:t>
        </x:is>
      </x:c>
      <x:c r="O11" s="134" t="inlineStr">
        <x:is>
          <x:t xml:space="preserve">Exposição somente de custo | As novas avaliações e respostas V2.2 são ilustrativas; a situação e o valor Ativo originais são preservados como atributos do cenário.</x:t>
        </x:is>
      </x:c>
      <x:c r="P11" s="17" t="b">
        <x:v>1</x:v>
      </x:c>
      <x:c r="Q11" s="32">
        <x:v>1</x:v>
      </x:c>
      <x:c r="R11" s="32">
        <x:v>5</x:v>
      </x:c>
      <x:c r="S11" s="138" t="inlineStr">
        <x:is>
          <x:t xml:space="preserve">Avaliação inicial de impacto ILUSTRATIVA: a inflação de materiais afeta diretamente o orçamento de compras; nenhum impacto direto sobre a duração está mapeado (classe mínima de prazo 1).</x:t>
        </x:is>
      </x:c>
      <x:c r="T11" s="139" t="inlineStr">
        <x:is>
          <x:t xml:space="preserve">Gerente comercial</x:t>
        </x:is>
      </x:c>
      <x:c r="U11" s="140" t="inlineStr">
        <x:is>
          <x:t xml:space="preserve">Antes dos compromissos de compra A05</x:t>
        </x:is>
      </x:c>
      <x:c r="V11" s="33">
        <x:v>0.28000000000000003</x:v>
      </x:c>
      <x:c r="W11" s="32">
        <x:v>1</x:v>
      </x:c>
      <x:c r="X11" s="32">
        <x:v>4</x:v>
      </x:c>
      <x:c r="Y11" s="139" t="inlineStr">
        <x:is>
          <x:t xml:space="preserve">Pendente</x:t>
        </x:is>
      </x:c>
      <x:c r="Z11" s="138" t="inlineStr">
        <x:is>
          <x:t xml:space="preserve">Exposição ILUSTRATIVA à ameaça após resposta; Mudanças de preços de mercado continuam possíveis; acordos de compra reduzem o incremento de custo exposto. Não é estimativa de simulação nem decisão aprovada de aceitação.</x:t>
        </x:is>
      </x:c>
    </x:row>
    <x:row r="12" ht="81" customHeight="1">
      <x:c r="A12" s="6" t="s">
        <x:v>61</x:v>
      </x:c>
      <x:c r="B12" s="131" t="inlineStr">
        <x:is>
          <x:t xml:space="preserve">Desempenho insuficiente de subcontratado</x:t>
        </x:is>
      </x:c>
      <x:c r="C12" s="131" t="inlineStr">
        <x:is>
          <x:t xml:space="preserve">Um subcontratado pode apresentar produtividade ou qualidade inferior à planejada.</x:t>
        </x:is>
      </x:c>
      <x:c r="D12" s="133" t="inlineStr">
        <x:is>
          <x:t xml:space="preserve">Empreiteiro</x:t>
        </x:is>
      </x:c>
      <x:c r="E12" s="133" t="inlineStr">
        <x:is>
          <x:t xml:space="preserve">Ameaça</x:t>
        </x:is>
      </x:c>
      <x:c r="F12" s="35">
        <x:v>0.22</x:v>
      </x:c>
      <x:c r="G12" s="19" t="s">
        <x:v>51</x:v>
      </x:c>
      <x:c r="H12" s="133" t="inlineStr">
        <x:is>
          <x:t xml:space="preserve">Ambos</x:t>
        </x:is>
      </x:c>
      <x:c r="I12" s="134" t="inlineStr">
        <x:is>
          <x:t xml:space="preserve">Deficiência de capacidade / gestão</x:t>
        </x:is>
      </x:c>
      <x:c r="J12" s="135" t="inlineStr">
        <x:is>
          <x:t xml:space="preserve">Gerente de contratos</x:t>
        </x:is>
      </x:c>
      <x:c r="K12" s="136" t="inlineStr">
        <x:is>
          <x:t xml:space="preserve">Mitigar</x:t>
        </x:is>
      </x:c>
      <x:c r="L12" s="137" t="inlineStr">
        <x:is>
          <x:t xml:space="preserve">Pré-qualificar subcontratados; acordar metas mensuráveis de produção e um procedimento de escalonamento e recuperação.</x:t>
        </x:is>
      </x:c>
      <x:c r="M12" s="136" t="inlineStr">
        <x:is>
          <x:t xml:space="preserve">Aberto</x:t>
        </x:is>
      </x:c>
      <x:c r="N12" s="21" t="s">
        <x:v>16</x:v>
      </x:c>
      <x:c r="O12" s="134" t="inlineStr">
        <x:is>
          <x:t xml:space="preserve">Exposição de pacotes de serviços | As novas avaliações e respostas V2.2 são ilustrativas; a situação e o valor Ativo originais são preservados como atributos do cenário.</x:t>
        </x:is>
      </x:c>
      <x:c r="P12" s="17" t="b">
        <x:v>1</x:v>
      </x:c>
      <x:c r="Q12" s="32">
        <x:v>4</x:v>
      </x:c>
      <x:c r="R12" s="32">
        <x:v>4</x:v>
      </x:c>
      <x:c r="S12" s="138" t="inlineStr">
        <x:is>
          <x:t xml:space="preserve">Avaliação inicial de impacto ILUSTRATIVA: baixa produtividade ou qualidade de subcontratados pode atrasar sucessoras e gerar despesas de recuperação.</x:t>
        </x:is>
      </x:c>
      <x:c r="T12" s="139" t="inlineStr">
        <x:is>
          <x:t xml:space="preserve">Gerente de contratos</x:t>
        </x:is>
      </x:c>
      <x:c r="U12" s="140" t="inlineStr">
        <x:is>
          <x:t xml:space="preserve">Antes da contratação do pacote de subempreitada</x:t>
        </x:is>
      </x:c>
      <x:c r="V12" s="33">
        <x:v>0.14000000000000001</x:v>
      </x:c>
      <x:c r="W12" s="32">
        <x:v>3</x:v>
      </x:c>
      <x:c r="X12" s="32">
        <x:v>3</x:v>
      </x:c>
      <x:c r="Y12" s="139" t="inlineStr">
        <x:is>
          <x:t xml:space="preserve">Pendente</x:t>
        </x:is>
      </x:c>
      <x:c r="Z12" s="138" t="inlineStr">
        <x:is>
          <x:t xml:space="preserve">Exposição ILUSTRATIVA à ameaça após resposta; Verificações de capacidade e planejamento de recuperação reduzem falhas de entrega e custos adicionais de correção. Não é estimativa de simulação nem decisão aprovada de aceitação.</x:t>
        </x:is>
      </x:c>
    </x:row>
    <x:row r="13" ht="81" customHeight="1">
      <x:c r="A13" s="6" t="s">
        <x:v>62</x:v>
      </x:c>
      <x:c r="B13" s="131" t="inlineStr">
        <x:is>
          <x:t xml:space="preserve">Falha de qualidade e retrabalho</x:t>
        </x:is>
      </x:c>
      <x:c r="C13" s="131" t="inlineStr">
        <x:is>
          <x:t xml:space="preserve">Os serviços podem reprovar em inspeção ou não atender às especificações, exigindo correção.</x:t>
        </x:is>
      </x:c>
      <x:c r="D13" s="133" t="inlineStr">
        <x:is>
          <x:t xml:space="preserve">Qualidade</x:t>
        </x:is>
      </x:c>
      <x:c r="E13" s="133" t="inlineStr">
        <x:is>
          <x:t xml:space="preserve">Ameaça</x:t>
        </x:is>
      </x:c>
      <x:c r="F13" s="35">
        <x:v>0.2</x:v>
      </x:c>
      <x:c r="G13" s="19" t="s">
        <x:v>51</x:v>
      </x:c>
      <x:c r="H13" s="133" t="inlineStr">
        <x:is>
          <x:t xml:space="preserve">Ambos</x:t>
        </x:is>
      </x:c>
      <x:c r="I13" s="134" t="inlineStr">
        <x:is>
          <x:t xml:space="preserve">Falha de execução / supervisão</x:t>
        </x:is>
      </x:c>
      <x:c r="J13" s="135" t="inlineStr">
        <x:is>
          <x:t xml:space="preserve">Gerente de garantia/controle da qualidade</x:t>
        </x:is>
      </x:c>
      <x:c r="K13" s="136" t="inlineStr">
        <x:is>
          <x:t xml:space="preserve">Mitigar</x:t>
        </x:is>
      </x:c>
      <x:c r="L13" s="137" t="inlineStr">
        <x:is>
          <x:t xml:space="preserve">Utilizar protótipos aprovados, listas de inspeção e liberação antes de encobrir serviços concluídos.</x:t>
        </x:is>
      </x:c>
      <x:c r="M13" s="136" t="inlineStr">
        <x:is>
          <x:t xml:space="preserve">Aberto</x:t>
        </x:is>
      </x:c>
      <x:c r="N13" s="21" t="s">
        <x:v>18</x:v>
      </x:c>
      <x:c r="O13" s="134" t="inlineStr">
        <x:is>
          <x:t xml:space="preserve">Exposição ampla da execução | As novas avaliações e respostas V2.2 são ilustrativas; a situação e o valor Ativo originais são preservados como atributos do cenário.</x:t>
        </x:is>
      </x:c>
      <x:c r="P13" s="17" t="b">
        <x:v>1</x:v>
      </x:c>
      <x:c r="Q13" s="32">
        <x:v>4</x:v>
      </x:c>
      <x:c r="R13" s="32">
        <x:v>4</x:v>
      </x:c>
      <x:c r="S13" s="138" t="inlineStr">
        <x:is>
          <x:t xml:space="preserve">Avaliação inicial de impacto ILUSTRATIVA: serviços reprovados podem exigir remoção, substituição e novas inspeções, afetando duração e custos diretos.</x:t>
        </x:is>
      </x:c>
      <x:c r="T13" s="139" t="inlineStr">
        <x:is>
          <x:t xml:space="preserve">Gerente de garantia/controle da qualidade</x:t>
        </x:is>
      </x:c>
      <x:c r="U13" s="140" t="inlineStr">
        <x:is>
          <x:t xml:space="preserve">Antes da laje A06 e dos serviços subsequentes</x:t>
        </x:is>
      </x:c>
      <x:c r="V13" s="33">
        <x:v>0.12</x:v>
      </x:c>
      <x:c r="W13" s="32">
        <x:v>3</x:v>
      </x:c>
      <x:c r="X13" s="32">
        <x:v>3</x:v>
      </x:c>
      <x:c r="Y13" s="139" t="inlineStr">
        <x:is>
          <x:t xml:space="preserve">Pendente</x:t>
        </x:is>
      </x:c>
      <x:c r="Z13" s="138" t="inlineStr">
        <x:is>
          <x:t xml:space="preserve">Exposição ILUSTRATIVA à ameaça após resposta; A aprovação e a inspeção dos primeiros serviços reduzem defeitos e limitam a extensão do retrabalho direto. Não é estimativa de simulação nem decisão aprovada de aceitação.</x:t>
        </x:is>
      </x:c>
    </x:row>
    <x:row r="14" ht="96" customHeight="1">
      <x:c r="A14" s="6" t="s">
        <x:v>63</x:v>
      </x:c>
      <x:c r="B14" s="131" t="inlineStr">
        <x:is>
          <x:t xml:space="preserve">Incidente de segurança</x:t>
        </x:is>
      </x:c>
      <x:c r="C14" s="131" t="inlineStr">
        <x:is>
          <x:t xml:space="preserve">Um incidente registrável pode interromper o trabalho e gerar investigação e ações corretivas.</x:t>
        </x:is>
      </x:c>
      <x:c r="D14" s="133" t="inlineStr">
        <x:is>
          <x:t xml:space="preserve">SSMA</x:t>
        </x:is>
      </x:c>
      <x:c r="E14" s="133" t="inlineStr">
        <x:is>
          <x:t xml:space="preserve">Ameaça</x:t>
        </x:is>
      </x:c>
      <x:c r="F14" s="35">
        <x:v>0.1</x:v>
      </x:c>
      <x:c r="G14" s="19" t="s">
        <x:v>60</x:v>
      </x:c>
      <x:c r="H14" s="133" t="inlineStr">
        <x:is>
          <x:t xml:space="preserve">Ambos</x:t>
        </x:is>
      </x:c>
      <x:c r="I14" s="134" t="inlineStr">
        <x:is>
          <x:t xml:space="preserve">Ato ou condição insegura</x:t>
        </x:is>
      </x:c>
      <x:c r="J14" s="135" t="inlineStr">
        <x:is>
          <x:t xml:space="preserve">Gerente de SSMA</x:t>
        </x:is>
      </x:c>
      <x:c r="K14" s="136" t="inlineStr">
        <x:is>
          <x:t xml:space="preserve">Evitar</x:t>
        </x:is>
      </x:c>
      <x:c r="L14" s="137" t="inlineStr">
        <x:is>
          <x:t xml:space="preserve">Eliminar métodos inseguros quando viável; exigir permissões de trabalho, integração e verificações da supervisão.</x:t>
        </x:is>
      </x:c>
      <x:c r="M14" s="136" t="inlineStr">
        <x:is>
          <x:t xml:space="preserve">Em monitoramento</x:t>
        </x:is>
      </x:c>
      <x:c r="N14" s="21" t="s">
        <x:v>21</x:v>
      </x:c>
      <x:c r="O14" s="134" t="inlineStr">
        <x:is>
          <x:t xml:space="preserve">Maior exposição na estrutura e em obras externas | As novas avaliações e respostas V2.2 são ilustrativas; a situação e o valor Ativo originais são preservados como atributos do cenário.</x:t>
        </x:is>
      </x:c>
      <x:c r="P14" s="17" t="b">
        <x:v>1</x:v>
      </x:c>
      <x:c r="Q14" s="32">
        <x:v>5</x:v>
      </x:c>
      <x:c r="R14" s="32">
        <x:v>5</x:v>
      </x:c>
      <x:c r="S14" s="138" t="inlineStr">
        <x:is>
          <x:t xml:space="preserve">Avaliação inicial de impacto ILUSTRATIVA: um incidente grave pode paralisar a obra e causar consequências humanas, legais e financeiras severas; baixa probabilidade não o torna aceitável.</x:t>
        </x:is>
      </x:c>
      <x:c r="T14" s="139" t="inlineStr">
        <x:is>
          <x:t xml:space="preserve">Gerente de SSMA</x:t>
        </x:is>
      </x:c>
      <x:c r="U14" s="140" t="inlineStr">
        <x:is>
          <x:t xml:space="preserve">Antes da mobilização A01; manter durante toda a obra</x:t>
        </x:is>
      </x:c>
      <x:c r="V14" s="33">
        <x:v>0.05</x:v>
      </x:c>
      <x:c r="W14" s="32">
        <x:v>5</x:v>
      </x:c>
      <x:c r="X14" s="32">
        <x:v>5</x:v>
      </x:c>
      <x:c r="Y14" s="139" t="inlineStr">
        <x:is>
          <x:t xml:space="preserve">Pendente</x:t>
        </x:is>
      </x:c>
      <x:c r="Z14" s="138" t="inlineStr">
        <x:is>
          <x:t xml:space="preserve">Exposição ILUSTRATIVA à ameaça após resposta; Controles reduzem a probabilidade de incidentes; consequências severas continuam possíveis e exigem revisão de SSMA independentemente da pontuação de triagem. Não é estimativa de simulação nem decisão aprovada de aceitação.</x:t>
        </x:is>
      </x:c>
    </x:row>
    <x:row r="15" ht="81" customHeight="1">
      <x:c r="A15" s="6" t="s">
        <x:v>64</x:v>
      </x:c>
      <x:c r="B15" s="131" t="inlineStr">
        <x:is>
          <x:t xml:space="preserve">Interferência com redes de serviços</x:t>
        </x:is>
      </x:c>
      <x:c r="C15" s="131" t="inlineStr">
        <x:is>
          <x:t xml:space="preserve">Redes de serviços existentes ou previstas podem interferir com a construção ou com as ligações.</x:t>
        </x:is>
      </x:c>
      <x:c r="D15" s="133" t="inlineStr">
        <x:is>
          <x:t xml:space="preserve">Técnico</x:t>
        </x:is>
      </x:c>
      <x:c r="E15" s="133" t="inlineStr">
        <x:is>
          <x:t xml:space="preserve">Ameaça</x:t>
        </x:is>
      </x:c>
      <x:c r="F15" s="35">
        <x:v>0.12</x:v>
      </x:c>
      <x:c r="G15" s="19" t="s">
        <x:v>51</x:v>
      </x:c>
      <x:c r="H15" s="133" t="inlineStr">
        <x:is>
          <x:t xml:space="preserve">Ambos</x:t>
        </x:is>
      </x:c>
      <x:c r="I15" s="134" t="inlineStr">
        <x:is>
          <x:t xml:space="preserve">Registros incompletos de redes / coordenação</x:t>
        </x:is>
      </x:c>
      <x:c r="J15" s="135" t="inlineStr">
        <x:is>
          <x:t xml:space="preserve">Gerente de instalações MEP</x:t>
        </x:is>
      </x:c>
      <x:c r="K15" s="136" t="inlineStr">
        <x:is>
          <x:t xml:space="preserve">Mitigar</x:t>
        </x:is>
      </x:c>
      <x:c r="L15" s="137" t="inlineStr">
        <x:is>
          <x:t xml:space="preserve">Verificar registros de redes enterradas, levantar interfaces e acordar traçados coordenados dos serviços.</x:t>
        </x:is>
      </x:c>
      <x:c r="M15" s="136" t="inlineStr">
        <x:is>
          <x:t xml:space="preserve">Encerrado</x:t>
        </x:is>
      </x:c>
      <x:c r="N15" s="135" t="inlineStr">
        <x:is>
          <x:t xml:space="preserve">Fixa</x:t>
        </x:is>
      </x:c>
      <x:c r="O15" s="134" t="inlineStr">
        <x:is>
          <x:t xml:space="preserve">MEP e obras externas | As novas avaliações e respostas V2.2 são ilustrativas; a situação e o valor Ativo originais são preservados como atributos do cenário.</x:t>
        </x:is>
      </x:c>
      <x:c r="P15" s="17" t="b">
        <x:v>1</x:v>
      </x:c>
      <x:c r="Q15" s="32">
        <x:v>3</x:v>
      </x:c>
      <x:c r="R15" s="32">
        <x:v>3</x:v>
      </x:c>
      <x:c r="S15" s="138" t="inlineStr">
        <x:is>
          <x:t xml:space="preserve">Avaliação inicial de impacto ILUSTRATIVA: interferências com redes podem bloquear escavações ou instalações e exigir remanejamento e recomposição.</x:t>
        </x:is>
      </x:c>
      <x:c r="T15" s="139" t="inlineStr">
        <x:is>
          <x:t xml:space="preserve">Gerente de instalações MEP</x:t>
        </x:is>
      </x:c>
      <x:c r="U15" s="140" t="inlineStr">
        <x:is>
          <x:t xml:space="preserve">Antes da escavação A04 e das instalações MEP A12</x:t>
        </x:is>
      </x:c>
      <x:c r="V15" s="33">
        <x:v>7.0000000000000007E-2</x:v>
      </x:c>
      <x:c r="W15" s="32">
        <x:v>2</x:v>
      </x:c>
      <x:c r="X15" s="32">
        <x:v>2</x:v>
      </x:c>
      <x:c r="Y15" s="139" t="inlineStr">
        <x:is>
          <x:t xml:space="preserve">Pendente</x:t>
        </x:is>
      </x:c>
      <x:c r="Z15" s="138" t="inlineStr">
        <x:is>
          <x:t xml:space="preserve">Exposição ILUSTRATIVA à ameaça após resposta; A verificação antecipada das redes reduz interferências e o remanejamento/retrabalho resultante. Não é estimativa de simulação nem decisão aprovada de aceitação.</x:t>
        </x:is>
      </x:c>
    </x:row>
    <x:row r="16" ht="81" customHeight="1">
      <x:c r="A16" s="6" t="s">
        <x:v>65</x:v>
      </x:c>
      <x:c r="B16" s="131" t="inlineStr">
        <x:is>
          <x:t xml:space="preserve">Atraso nas decisões do cliente</x:t>
        </x:is>
      </x:c>
      <x:c r="C16" s="131" t="inlineStr">
        <x:is>
          <x:t xml:space="preserve">A aprovação tardia de amostras, acabamentos ou mudanças pode paralisar serviços subsequentes.</x:t>
        </x:is>
      </x:c>
      <x:c r="D16" s="133" t="inlineStr">
        <x:is>
          <x:t xml:space="preserve">Partes interessadas</x:t>
        </x:is>
      </x:c>
      <x:c r="E16" s="133" t="inlineStr">
        <x:is>
          <x:t xml:space="preserve">Ameaça</x:t>
        </x:is>
      </x:c>
      <x:c r="F16" s="35">
        <x:v>0.2</x:v>
      </x:c>
      <x:c r="G16" s="19" t="s">
        <x:v>51</x:v>
      </x:c>
      <x:c r="H16" s="133" t="inlineStr">
        <x:is>
          <x:t xml:space="preserve">Duração</x:t>
        </x:is>
      </x:c>
      <x:c r="I16" s="134" t="inlineStr">
        <x:is>
          <x:t xml:space="preserve">Aprovações lentas do cliente</x:t>
        </x:is>
      </x:c>
      <x:c r="J16" s="135" t="inlineStr">
        <x:is>
          <x:t xml:space="preserve">Gerente do projeto</x:t>
        </x:is>
      </x:c>
      <x:c r="K16" s="136" t="inlineStr">
        <x:is>
          <x:t xml:space="preserve">Mitigar</x:t>
        </x:is>
      </x:c>
      <x:c r="L16" s="137" t="inlineStr">
        <x:is>
          <x:t xml:space="preserve">Acordar um cronograma de decisões do cliente, responsáveis pela aprovação e prazos para aprovação de amostras.</x:t>
        </x:is>
      </x:c>
      <x:c r="M16" s="136" t="inlineStr">
        <x:is>
          <x:t xml:space="preserve">Aberto</x:t>
        </x:is>
      </x:c>
      <x:c r="N16" s="21" t="s">
        <x:v>16</x:v>
      </x:c>
      <x:c r="O16" s="134" t="inlineStr">
        <x:is>
          <x:t xml:space="preserve">Atividades de acabamento | As novas avaliações e respostas V2.2 são ilustrativas; a situação e o valor Ativo originais são preservados como atributos do cenário.</x:t>
        </x:is>
      </x:c>
      <x:c r="P16" s="17" t="b">
        <x:v>1</x:v>
      </x:c>
      <x:c r="Q16" s="32">
        <x:v>3</x:v>
      </x:c>
      <x:c r="R16" s="32">
        <x:v>2</x:v>
      </x:c>
      <x:c r="S16" s="138" t="inlineStr">
        <x:is>
          <x:t xml:space="preserve">Avaliação inicial de impacto ILUSTRATIVA: aprovações lentas do cliente podem bloquear a liberação de acabamentos e prolongar custos dependentes do tempo.</x:t>
        </x:is>
      </x:c>
      <x:c r="T16" s="139" t="inlineStr">
        <x:is>
          <x:t xml:space="preserve">Gerente do projeto</x:t>
        </x:is>
      </x:c>
      <x:c r="U16" s="140" t="inlineStr">
        <x:is>
          <x:t xml:space="preserve">Antes da liberação de portas/janelas A15 e acabamentos</x:t>
        </x:is>
      </x:c>
      <x:c r="V16" s="33">
        <x:v>0.12</x:v>
      </x:c>
      <x:c r="W16" s="32">
        <x:v>2</x:v>
      </x:c>
      <x:c r="X16" s="32">
        <x:v>2</x:v>
      </x:c>
      <x:c r="Y16" s="139" t="inlineStr">
        <x:is>
          <x:t xml:space="preserve">Pendente</x:t>
        </x:is>
      </x:c>
      <x:c r="Z16" s="138" t="inlineStr">
        <x:is>
          <x:t xml:space="preserve">Exposição ILUSTRATIVA à ameaça após resposta; Prazos claros e escalonamento reduzem a espera por aprovação; custos indiretos temporais permanecem. Não é estimativa de simulação nem decisão aprovada de aceitação.</x:t>
        </x:is>
      </x:c>
    </x:row>
    <x:row r="17" ht="96" customHeight="1">
      <x:c r="A17" s="6" t="s">
        <x:v>66</x:v>
      </x:c>
      <x:c r="B17" s="131" t="inlineStr">
        <x:is>
          <x:t xml:space="preserve">Fluxo de caixa / atraso de pagamento</x:t>
        </x:is>
      </x:c>
      <x:c r="C17" s="131" t="inlineStr">
        <x:is>
          <x:t xml:space="preserve">Atrasos na medição ou no pagamento podem restringir compras e o avanço de subcontratados.</x:t>
        </x:is>
      </x:c>
      <x:c r="D17" s="133" t="inlineStr">
        <x:is>
          <x:t xml:space="preserve">Financeiro</x:t>
        </x:is>
      </x:c>
      <x:c r="E17" s="133" t="inlineStr">
        <x:is>
          <x:t xml:space="preserve">Ameaça</x:t>
        </x:is>
      </x:c>
      <x:c r="F17" s="35">
        <x:v>0.14000000000000001</x:v>
      </x:c>
      <x:c r="G17" s="19" t="s">
        <x:v>60</x:v>
      </x:c>
      <x:c r="H17" s="133" t="inlineStr">
        <x:is>
          <x:t xml:space="preserve">Ambos</x:t>
        </x:is>
      </x:c>
      <x:c r="I17" s="134" t="inlineStr">
        <x:is>
          <x:t xml:space="preserve">Processamento de pagamentos / restrições de financiamento</x:t>
        </x:is>
      </x:c>
      <x:c r="J17" s="135" t="inlineStr">
        <x:is>
          <x:t xml:space="preserve">Gerente comercial</x:t>
        </x:is>
      </x:c>
      <x:c r="K17" s="136" t="inlineStr">
        <x:is>
          <x:t xml:space="preserve">Mitigar</x:t>
        </x:is>
      </x:c>
      <x:c r="L17" s="137" t="inlineStr">
        <x:is>
          <x:t xml:space="preserve">Preparar previsões contínuas de fluxo de caixa, apresentar medições completas e providenciar uma linha de financiamento de contingência.</x:t>
        </x:is>
      </x:c>
      <x:c r="M17" s="136" t="inlineStr">
        <x:is>
          <x:t xml:space="preserve">Em monitoramento</x:t>
        </x:is>
      </x:c>
      <x:c r="N17" s="21" t="s">
        <x:v>18</x:v>
      </x:c>
      <x:c r="O17" s="134" t="inlineStr">
        <x:is>
          <x:t xml:space="preserve">Impacto potencialmente amplo no projeto | As novas avaliações e respostas V2.2 são ilustrativas; a situação e o valor Ativo originais são preservados como atributos do cenário.</x:t>
        </x:is>
      </x:c>
      <x:c r="P17" s="17" t="b">
        <x:v>1</x:v>
      </x:c>
      <x:c r="Q17" s="32">
        <x:v>4</x:v>
      </x:c>
      <x:c r="R17" s="32">
        <x:v>4</x:v>
      </x:c>
      <x:c r="S17" s="138" t="inlineStr">
        <x:is>
          <x:t xml:space="preserve">Avaliação inicial de impacto ILUSTRATIVA: falta de caixa pode afetar vários fornecedores e especialidades e acrescentar custos de financiamento ou remobilização.</x:t>
        </x:is>
      </x:c>
      <x:c r="T17" s="139" t="inlineStr">
        <x:is>
          <x:t xml:space="preserve">Gerente comercial</x:t>
        </x:is>
      </x:c>
      <x:c r="U17" s="140" t="inlineStr">
        <x:is>
          <x:t xml:space="preserve">Antes da mobilização A01; revisar a cada ciclo de pagamento</x:t>
        </x:is>
      </x:c>
      <x:c r="V17" s="33">
        <x:v>0.1</x:v>
      </x:c>
      <x:c r="W17" s="32">
        <x:v>3</x:v>
      </x:c>
      <x:c r="X17" s="32">
        <x:v>3</x:v>
      </x:c>
      <x:c r="Y17" s="139" t="inlineStr">
        <x:is>
          <x:t xml:space="preserve">Pendente</x:t>
        </x:is>
      </x:c>
      <x:c r="Z17" s="138" t="inlineStr">
        <x:is>
          <x:t xml:space="preserve">Exposição ILUSTRATIVA à ameaça após resposta; A preparação dos pagamentos e as reservas de liquidez reduzem interrupções; custos de financiamento e remobilização continuam possíveis. Não é estimativa de simulação nem decisão aprovada de aceitação.</x:t>
        </x:is>
      </x:c>
    </x:row>
    <x:row r="18" ht="96" customHeight="1">
      <x:c r="A18" s="6" t="s">
        <x:v>67</x:v>
      </x:c>
      <x:c r="B18" s="131" t="inlineStr">
        <x:is>
          <x:t xml:space="preserve">Furto ou vandalismo</x:t>
        </x:is>
      </x:c>
      <x:c r="C18" s="131" t="inlineStr">
        <x:is>
          <x:t xml:space="preserve">Materiais, ferramentas ou serviços concluídos podem ser perdidos ou danificados.</x:t>
        </x:is>
      </x:c>
      <x:c r="D18" s="133" t="inlineStr">
        <x:is>
          <x:t xml:space="preserve">Segurança patrimonial</x:t>
        </x:is>
      </x:c>
      <x:c r="E18" s="133" t="inlineStr">
        <x:is>
          <x:t xml:space="preserve">Ameaça</x:t>
        </x:is>
      </x:c>
      <x:c r="F18" s="35">
        <x:v>0.09</x:v>
      </x:c>
      <x:c r="G18" s="19" t="s">
        <x:v>51</x:v>
      </x:c>
      <x:c r="H18" s="133" t="inlineStr">
        <x:is>
          <x:t xml:space="preserve">Custo</x:t>
        </x:is>
      </x:c>
      <x:c r="I18" s="134" t="inlineStr">
        <x:is>
          <x:t xml:space="preserve">Violação da segurança do canteiro</x:t>
        </x:is>
      </x:c>
      <x:c r="J18" s="135" t="inlineStr">
        <x:is>
          <x:t xml:space="preserve">Gerente de obra</x:t>
        </x:is>
      </x:c>
      <x:c r="K18" s="136" t="inlineStr">
        <x:is>
          <x:t xml:space="preserve">Mitigar</x:t>
        </x:is>
      </x:c>
      <x:c r="L18" s="137" t="inlineStr">
        <x:is>
          <x:t xml:space="preserve">Proteger depósitos, registrar saídas de materiais e controlar o acesso e a vigilância noturna.</x:t>
        </x:is>
      </x:c>
      <x:c r="M18" s="136" t="inlineStr">
        <x:is>
          <x:t xml:space="preserve">Encerrado</x:t>
        </x:is>
      </x:c>
      <x:c r="N18" s="21" t="s">
        <x:v>21</x:v>
      </x:c>
      <x:c r="O18" s="134" t="inlineStr">
        <x:is>
          <x:t xml:space="preserve">Exposição no armazenamento e nos acabamentos | As novas avaliações e respostas V2.2 são ilustrativas; a situação e o valor Ativo originais são preservados como atributos do cenário.</x:t>
        </x:is>
      </x:c>
      <x:c r="P18" s="17" t="b">
        <x:v>1</x:v>
      </x:c>
      <x:c r="Q18" s="32">
        <x:v>1</x:v>
      </x:c>
      <x:c r="R18" s="32">
        <x:v>3</x:v>
      </x:c>
      <x:c r="S18" s="138" t="inlineStr">
        <x:is>
          <x:t xml:space="preserve">Avaliação inicial de impacto ILUSTRATIVA: o furto causa custos de reposição; nenhum impacto direto sobre o prazo está mapeado (classe mínima de prazo 1).</x:t>
        </x:is>
      </x:c>
      <x:c r="T18" s="139" t="inlineStr">
        <x:is>
          <x:t xml:space="preserve">Gerente de obra</x:t>
        </x:is>
      </x:c>
      <x:c r="U18" s="140" t="inlineStr">
        <x:is>
          <x:t xml:space="preserve">Antes da instalação do canteiro A01</x:t>
        </x:is>
      </x:c>
      <x:c r="V18" s="33">
        <x:v>0.05</x:v>
      </x:c>
      <x:c r="W18" s="32">
        <x:v>1</x:v>
      </x:c>
      <x:c r="X18" s="32">
        <x:v>2</x:v>
      </x:c>
      <x:c r="Y18" s="139" t="inlineStr">
        <x:is>
          <x:t xml:space="preserve">Pendente</x:t>
        </x:is>
      </x:c>
      <x:c r="Z18" s="138" t="inlineStr">
        <x:is>
          <x:t xml:space="preserve">Exposição ILUSTRATIVA à ameaça após resposta; Medidas de segurança reduzem a probabilidade de perdas e os custos de reposição não recuperados; nenhuma consequência direta de prazo está mapeada. Não é estimativa de simulação nem decisão aprovada de aceitação.</x:t>
        </x:is>
      </x:c>
    </x:row>
    <x:row r="19" ht="96" customHeight="1">
      <x:c r="A19" s="6" t="s">
        <x:v>68</x:v>
      </x:c>
      <x:c r="B19" s="131" t="inlineStr">
        <x:is>
          <x:t xml:space="preserve">Interferência da comunidade / vizinhança</x:t>
        </x:is>
      </x:c>
      <x:c r="C19" s="131" t="inlineStr">
        <x:is>
          <x:t xml:space="preserve">Reclamações, restrições de acesso ou perturbações locais podem limitar as operações do canteiro.</x:t>
        </x:is>
      </x:c>
      <x:c r="D19" s="133" t="inlineStr">
        <x:is>
          <x:t xml:space="preserve">Partes interessadas</x:t>
        </x:is>
      </x:c>
      <x:c r="E19" s="133" t="inlineStr">
        <x:is>
          <x:t xml:space="preserve">Ameaça</x:t>
        </x:is>
      </x:c>
      <x:c r="F19" s="35">
        <x:v>0.11</x:v>
      </x:c>
      <x:c r="G19" s="19" t="s">
        <x:v>51</x:v>
      </x:c>
      <x:c r="H19" s="133" t="inlineStr">
        <x:is>
          <x:t xml:space="preserve">Duração</x:t>
        </x:is>
      </x:c>
      <x:c r="I19" s="134" t="inlineStr">
        <x:is>
          <x:t xml:space="preserve">Ruído, tráfego ou conflito de acesso</x:t>
        </x:is>
      </x:c>
      <x:c r="J19" s="135" t="inlineStr">
        <x:is>
          <x:t xml:space="preserve">Gerente do projeto</x:t>
        </x:is>
      </x:c>
      <x:c r="K19" s="136" t="inlineStr">
        <x:is>
          <x:t xml:space="preserve">Mitigar</x:t>
        </x:is>
      </x:c>
      <x:c r="L19" s="137" t="inlineStr">
        <x:is>
          <x:t xml:space="preserve">Acordar rotas de entrega e horários de trabalho; designar um contato para relacionamento com a vizinhança.</x:t>
        </x:is>
      </x:c>
      <x:c r="M19" s="136" t="inlineStr">
        <x:is>
          <x:t xml:space="preserve">Em monitoramento</x:t>
        </x:is>
      </x:c>
      <x:c r="N19" s="135" t="inlineStr">
        <x:is>
          <x:t xml:space="preserve">Fixa</x:t>
        </x:is>
      </x:c>
      <x:c r="O19" s="134" t="inlineStr">
        <x:is>
          <x:t xml:space="preserve">Logística do canteiro e obras externas | As novas avaliações e respostas V2.2 são ilustrativas; a situação e o valor Ativo originais são preservados como atributos do cenário.</x:t>
        </x:is>
      </x:c>
      <x:c r="P19" s="17" t="b">
        <x:v>1</x:v>
      </x:c>
      <x:c r="Q19" s="32">
        <x:v>3</x:v>
      </x:c>
      <x:c r="R19" s="32">
        <x:v>2</x:v>
      </x:c>
      <x:c r="S19" s="138" t="inlineStr">
        <x:is>
          <x:t xml:space="preserve">Avaliação inicial de impacto ILUSTRATIVA: restrições da vizinhança ou de acesso podem interromper a logística e prolongar custos proporcionais ao tempo.</x:t>
        </x:is>
      </x:c>
      <x:c r="T19" s="139" t="inlineStr">
        <x:is>
          <x:t xml:space="preserve">Gerente do projeto</x:t>
        </x:is>
      </x:c>
      <x:c r="U19" s="140" t="inlineStr">
        <x:is>
          <x:t xml:space="preserve">Antes da mobilização A01</x:t>
        </x:is>
      </x:c>
      <x:c r="V19" s="33">
        <x:v>7.0000000000000007E-2</x:v>
      </x:c>
      <x:c r="W19" s="32">
        <x:v>2</x:v>
      </x:c>
      <x:c r="X19" s="32">
        <x:v>2</x:v>
      </x:c>
      <x:c r="Y19" s="139" t="inlineStr">
        <x:is>
          <x:t xml:space="preserve">Pendente</x:t>
        </x:is>
      </x:c>
      <x:c r="Z19" s="138" t="inlineStr">
        <x:is>
          <x:t xml:space="preserve">Exposição ILUSTRATIVA à ameaça após resposta; A articulação antecipada reduz restrições de acesso e os custos temporais resultantes. Não é estimativa de simulação nem decisão aprovada de aceitação.</x:t>
        </x:is>
      </x:c>
    </x:row>
    <x:row r="20" ht="81" customHeight="1">
      <x:c r="A20" s="6" t="s">
        <x:v>69</x:v>
      </x:c>
      <x:c r="B20" s="131" t="inlineStr">
        <x:is>
          <x:t xml:space="preserve">Interferência de coordenação MEP</x:t>
        </x:is>
      </x:c>
      <x:c r="C20" s="131" t="inlineStr">
        <x:is>
          <x:t xml:space="preserve">Traçados elétricos, hidrossanitários ou de climatização podem apresentar interferências e exigir revisão de projeto/retrabalho.</x:t>
        </x:is>
      </x:c>
      <x:c r="D20" s="133" t="inlineStr">
        <x:is>
          <x:t xml:space="preserve">Coordenação</x:t>
        </x:is>
      </x:c>
      <x:c r="E20" s="133" t="inlineStr">
        <x:is>
          <x:t xml:space="preserve">Ameaça</x:t>
        </x:is>
      </x:c>
      <x:c r="F20" s="35">
        <x:v>0.23</x:v>
      </x:c>
      <x:c r="G20" s="19" t="s">
        <x:v>51</x:v>
      </x:c>
      <x:c r="H20" s="133" t="inlineStr">
        <x:is>
          <x:t xml:space="preserve">Ambos</x:t>
        </x:is>
      </x:c>
      <x:c r="I20" s="134" t="inlineStr">
        <x:is>
          <x:t xml:space="preserve">Coordenação multidisciplinar insuficiente</x:t>
        </x:is>
      </x:c>
      <x:c r="J20" s="135" t="inlineStr">
        <x:is>
          <x:t xml:space="preserve">Gerente de instalações MEP</x:t>
        </x:is>
      </x:c>
      <x:c r="K20" s="136" t="inlineStr">
        <x:is>
          <x:t xml:space="preserve">Mitigar</x:t>
        </x:is>
      </x:c>
      <x:c r="L20" s="137" t="inlineStr">
        <x:is>
          <x:t xml:space="preserve">Concluir a verificação multidisciplinar de interferências e os desenhos coordenados de instalação antes da liberação MEP.</x:t>
        </x:is>
      </x:c>
      <x:c r="M20" s="136" t="inlineStr">
        <x:is>
          <x:t xml:space="preserve">Aberto</x:t>
        </x:is>
      </x:c>
      <x:c r="N20" s="21" t="s">
        <x:v>16</x:v>
      </x:c>
      <x:c r="O20" s="134" t="inlineStr">
        <x:is>
          <x:t xml:space="preserve">Infraestrutura MEP e forros | As novas avaliações e respostas V2.2 são ilustrativas; a situação e o valor Ativo originais são preservados como atributos do cenário.</x:t>
        </x:is>
      </x:c>
      <x:c r="P20" s="17" t="b">
        <x:v>1</x:v>
      </x:c>
      <x:c r="Q20" s="32">
        <x:v>4</x:v>
      </x:c>
      <x:c r="R20" s="32">
        <x:v>4</x:v>
      </x:c>
      <x:c r="S20" s="138" t="inlineStr">
        <x:is>
          <x:t xml:space="preserve">Avaliação inicial de impacto ILUSTRATIVA: interferências MEP podem atrasar várias especialidades de instalações e exigir revisão de projeto ou retrabalho de instalação.</x:t>
        </x:is>
      </x:c>
      <x:c r="T20" s="139" t="inlineStr">
        <x:is>
          <x:t xml:space="preserve">Gerente de instalações MEP</x:t>
        </x:is>
      </x:c>
      <x:c r="U20" s="140" t="inlineStr">
        <x:is>
          <x:t xml:space="preserve">Antes da infraestrutura elétrica A12</x:t>
        </x:is>
      </x:c>
      <x:c r="V20" s="33">
        <x:v>0.12</x:v>
      </x:c>
      <x:c r="W20" s="32">
        <x:v>3</x:v>
      </x:c>
      <x:c r="X20" s="32">
        <x:v>3</x:v>
      </x:c>
      <x:c r="Y20" s="139" t="inlineStr">
        <x:is>
          <x:t xml:space="preserve">Pendente</x:t>
        </x:is>
      </x:c>
      <x:c r="Z20" s="138" t="inlineStr">
        <x:is>
          <x:t xml:space="preserve">Exposição ILUSTRATIVA à ameaça após resposta; Interfaces de traçado resolvidas reduzem retrabalho de instalação, espera e materiais de reposição. Não é estimativa de simulação nem decisão aprovada de aceitação.</x:t>
        </x:is>
      </x:c>
    </x:row>
    <x:row r="21" ht="81" customHeight="1">
      <x:c r="A21" s="6" t="s">
        <x:v>70</x:v>
      </x:c>
      <x:c r="B21" s="131" t="inlineStr">
        <x:is>
          <x:t xml:space="preserve">Falha de impermeabilização</x:t>
        </x:is>
      </x:c>
      <x:c r="C21" s="131" t="inlineStr">
        <x:is>
          <x:t xml:space="preserve">A impermeabilização pode falhar nos testes e exigir remoção e reaplicação.</x:t>
        </x:is>
      </x:c>
      <x:c r="D21" s="133" t="inlineStr">
        <x:is>
          <x:t xml:space="preserve">Qualidade</x:t>
        </x:is>
      </x:c>
      <x:c r="E21" s="133" t="inlineStr">
        <x:is>
          <x:t xml:space="preserve">Ameaça</x:t>
        </x:is>
      </x:c>
      <x:c r="F21" s="35">
        <x:v>0.13</x:v>
      </x:c>
      <x:c r="G21" s="19" t="s">
        <x:v>51</x:v>
      </x:c>
      <x:c r="H21" s="133" t="inlineStr">
        <x:is>
          <x:t xml:space="preserve">Ambos</x:t>
        </x:is>
      </x:c>
      <x:c r="I21" s="134" t="inlineStr">
        <x:is>
          <x:t xml:space="preserve">Substrato, aplicação ou detalhamento inadequado</x:t>
        </x:is>
      </x:c>
      <x:c r="J21" s="135" t="inlineStr">
        <x:is>
          <x:t xml:space="preserve">Gerente de garantia/controle da qualidade</x:t>
        </x:is>
      </x:c>
      <x:c r="K21" s="136" t="inlineStr">
        <x:is>
          <x:t xml:space="preserve">Mitigar</x:t>
        </x:is>
      </x:c>
      <x:c r="L21" s="137" t="inlineStr">
        <x:is>
          <x:t xml:space="preserve">Aprovar a preparação do substrato, inspecionar detalhes e realizar testes de estanqueidade por etapas antes dos acabamentos.</x:t>
        </x:is>
      </x:c>
      <x:c r="M21" s="136" t="inlineStr">
        <x:is>
          <x:t xml:space="preserve">Em monitoramento</x:t>
        </x:is>
      </x:c>
      <x:c r="N21" s="21" t="s">
        <x:v>18</x:v>
      </x:c>
      <x:c r="O21" s="134" t="inlineStr">
        <x:is>
          <x:t xml:space="preserve">Áreas molhadas e envoltória | As novas avaliações e respostas V2.2 são ilustrativas; a situação e o valor Ativo originais são preservados como atributos do cenário.</x:t>
        </x:is>
      </x:c>
      <x:c r="P21" s="17" t="b">
        <x:v>1</x:v>
      </x:c>
      <x:c r="Q21" s="32">
        <x:v>4</x:v>
      </x:c>
      <x:c r="R21" s="32">
        <x:v>4</x:v>
      </x:c>
      <x:c r="S21" s="138" t="inlineStr">
        <x:is>
          <x:t xml:space="preserve">Avaliação inicial de impacto ILUSTRATIVA: defeitos de impermeabilização podem bloquear acabamentos e exigir remoção, substituição e novos testes.</x:t>
        </x:is>
      </x:c>
      <x:c r="T21" s="139" t="inlineStr">
        <x:is>
          <x:t xml:space="preserve">Gerente de garantia/controle da qualidade</x:t>
        </x:is>
      </x:c>
      <x:c r="U21" s="140" t="inlineStr">
        <x:is>
          <x:t xml:space="preserve">Antes da impermeabilização A16</x:t>
        </x:is>
      </x:c>
      <x:c r="V21" s="33">
        <x:v>7.0000000000000007E-2</x:v>
      </x:c>
      <x:c r="W21" s="32">
        <x:v>3</x:v>
      </x:c>
      <x:c r="X21" s="32">
        <x:v>3</x:v>
      </x:c>
      <x:c r="Y21" s="139" t="inlineStr">
        <x:is>
          <x:t xml:space="preserve">Pendente</x:t>
        </x:is>
      </x:c>
      <x:c r="Z21" s="138" t="inlineStr">
        <x:is>
          <x:t xml:space="preserve">Exposição ILUSTRATIVA à ameaça após resposta; A aceitação por etapas reduz defeitos e restringe remoção/reaplicação a áreas menores. Não é estimativa de simulação nem decisão aprovada de aceitação.</x:t>
        </x:is>
      </x:c>
    </x:row>
    <x:row r="22" ht="81" customHeight="1">
      <x:c r="A22" s="6" t="s">
        <x:v>71</x:v>
      </x:c>
      <x:c r="B22" s="131" t="inlineStr">
        <x:is>
          <x:t xml:space="preserve">Falha no comissionamento</x:t>
        </x:is>
      </x:c>
      <x:c r="C22" s="131" t="inlineStr">
        <x:is>
          <x:t xml:space="preserve">Sistemas podem falhar nos testes funcionais, exigindo diagnóstico e repetição dos testes.</x:t>
        </x:is>
      </x:c>
      <x:c r="D22" s="133" t="inlineStr">
        <x:is>
          <x:t xml:space="preserve">Técnico</x:t>
        </x:is>
      </x:c>
      <x:c r="E22" s="133" t="inlineStr">
        <x:is>
          <x:t xml:space="preserve">Ameaça</x:t>
        </x:is>
      </x:c>
      <x:c r="F22" s="35">
        <x:v>0.17</x:v>
      </x:c>
      <x:c r="G22" s="19" t="s">
        <x:v>51</x:v>
      </x:c>
      <x:c r="H22" s="133" t="inlineStr">
        <x:is>
          <x:t xml:space="preserve">Ambos</x:t>
        </x:is>
      </x:c>
      <x:c r="I22" s="134" t="inlineStr">
        <x:is>
          <x:t xml:space="preserve">Defeitos de instalação/configuração</x:t>
        </x:is>
      </x:c>
      <x:c r="J22" s="135" t="inlineStr">
        <x:is>
          <x:t xml:space="preserve">Gerente de comissionamento</x:t>
        </x:is>
      </x:c>
      <x:c r="K22" s="136" t="inlineStr">
        <x:is>
          <x:t xml:space="preserve">Mitigar</x:t>
        </x:is>
      </x:c>
      <x:c r="L22" s="137" t="inlineStr">
        <x:is>
          <x:t xml:space="preserve">Aprovar procedimentos de comissionamento e realizar verificações pré-funcionais antes dos testes integrados.</x:t>
        </x:is>
      </x:c>
      <x:c r="M22" s="136" t="inlineStr">
        <x:is>
          <x:t xml:space="preserve">Aberto</x:t>
        </x:is>
      </x:c>
      <x:c r="N22" s="21" t="s">
        <x:v>21</x:v>
      </x:c>
      <x:c r="O22" s="134" t="inlineStr">
        <x:is>
          <x:t xml:space="preserve">Sistemas nas etapas finais | As novas avaliações e respostas V2.2 são ilustrativas; a situação e o valor Ativo originais são preservados como atributos do cenário.</x:t>
        </x:is>
      </x:c>
      <x:c r="P22" s="17" t="b">
        <x:v>1</x:v>
      </x:c>
      <x:c r="Q22" s="32">
        <x:v>4</x:v>
      </x:c>
      <x:c r="R22" s="32">
        <x:v>3</x:v>
      </x:c>
      <x:c r="S22" s="138" t="inlineStr">
        <x:is>
          <x:t xml:space="preserve">Avaliação inicial de impacto ILUSTRATIVA: falhas em testes funcionais podem atrasar a entrega e exigir diagnóstico e novos testes.</x:t>
        </x:is>
      </x:c>
      <x:c r="T22" s="139" t="inlineStr">
        <x:is>
          <x:t xml:space="preserve">Gerente de comissionamento</x:t>
        </x:is>
      </x:c>
      <x:c r="U22" s="140" t="inlineStr">
        <x:is>
          <x:t xml:space="preserve">Antes do comissionamento A27</x:t>
        </x:is>
      </x:c>
      <x:c r="V22" s="33">
        <x:v>0.1</x:v>
      </x:c>
      <x:c r="W22" s="32">
        <x:v>3</x:v>
      </x:c>
      <x:c r="X22" s="32">
        <x:v>2</x:v>
      </x:c>
      <x:c r="Y22" s="139" t="inlineStr">
        <x:is>
          <x:t xml:space="preserve">Pendente</x:t>
        </x:is>
      </x:c>
      <x:c r="Z22" s="138" t="inlineStr">
        <x:is>
          <x:t xml:space="preserve">Exposição ILUSTRATIVA à ameaça após resposta; Verificações prévias reduzem falhas e custos de diagnóstico/novos testes no comissionamento final. Não é estimativa de simulação nem decisão aprovada de aceitação.</x:t>
        </x:is>
      </x:c>
    </x:row>
    <x:row r="23" ht="81" customHeight="1">
      <x:c r="A23" s="6" t="s">
        <x:v>72</x:v>
      </x:c>
      <x:c r="B23" s="131" t="inlineStr">
        <x:is>
          <x:t xml:space="preserve">Eficiência de pré-fabricação</x:t>
        </x:is>
      </x:c>
      <x:c r="C23" s="131" t="inlineStr">
        <x:is>
          <x:t xml:space="preserve">A fabricação fora do canteiro pode reduzir a duração da instalação e o desperdício no local.</x:t>
        </x:is>
      </x:c>
      <x:c r="D23" s="133" t="inlineStr">
        <x:is>
          <x:t xml:space="preserve">Inovação</x:t>
        </x:is>
      </x:c>
      <x:c r="E23" s="133" t="inlineStr">
        <x:is>
          <x:t xml:space="preserve">Oportunidade</x:t>
        </x:is>
      </x:c>
      <x:c r="F23" s="35">
        <x:v>0.18</x:v>
      </x:c>
      <x:c r="G23" s="19" t="s">
        <x:v>51</x:v>
      </x:c>
      <x:c r="H23" s="133" t="inlineStr">
        <x:is>
          <x:t xml:space="preserve">Ambos</x:t>
        </x:is>
      </x:c>
      <x:c r="I23" s="134" t="inlineStr">
        <x:is>
          <x:t xml:space="preserve">Pré-fabricação / modularização bem-sucedida</x:t>
        </x:is>
      </x:c>
      <x:c r="J23" s="135" t="inlineStr">
        <x:is>
          <x:t xml:space="preserve">Gerente do projeto</x:t>
        </x:is>
      </x:c>
      <x:c r="K23" s="136" t="inlineStr">
        <x:is>
          <x:t xml:space="preserve">Explorar</x:t>
        </x:is>
      </x:c>
      <x:c r="L23" s="137" t="inlineStr">
        <x:is>
          <x:t xml:space="preserve">Confirmar tolerâncias de pré-fabricação, aprovar desenhos de fabricação e coordenar a fabricação externa com a instalação.</x:t>
        </x:is>
      </x:c>
      <x:c r="M23" s="136" t="inlineStr">
        <x:is>
          <x:t xml:space="preserve">Em monitoramento</x:t>
        </x:is>
      </x:c>
      <x:c r="N23" s="135" t="inlineStr">
        <x:is>
          <x:t xml:space="preserve">Fixa</x:t>
        </x:is>
      </x:c>
      <x:c r="O23" s="134" t="inlineStr">
        <x:is>
          <x:t xml:space="preserve">Oportunidade em MEP e marcenaria | As novas avaliações e respostas V2.2 são ilustrativas; a situação e o valor Ativo originais são preservados como atributos do cenário.</x:t>
        </x:is>
      </x:c>
      <x:c r="P23" s="17" t="b">
        <x:v>1</x:v>
      </x:c>
      <x:c r="Q23" s="32">
        <x:v>3</x:v>
      </x:c>
      <x:c r="R23" s="32">
        <x:v>3</x:v>
      </x:c>
      <x:c r="S23" s="138" t="inlineStr">
        <x:is>
          <x:t xml:space="preserve">Avaliação inicial de impacto ILUSTRATIVA: a pré-fabricação pode abreviar a instalação e reduzir desperdícios em pacotes adequados de MEP e marcenaria.</x:t>
        </x:is>
      </x:c>
      <x:c r="T23" s="139" t="inlineStr">
        <x:is>
          <x:t xml:space="preserve">Gerente do projeto</x:t>
        </x:is>
      </x:c>
      <x:c r="U23" s="140" t="inlineStr">
        <x:is>
          <x:t xml:space="preserve">Antes da liberação da fabricação MEP A12</x:t>
        </x:is>
      </x:c>
      <x:c r="V23" s="33">
        <x:v>0.28000000000000003</x:v>
      </x:c>
      <x:c r="W23" s="32">
        <x:v>4</x:v>
      </x:c>
      <x:c r="X23" s="32">
        <x:v>4</x:v>
      </x:c>
      <x:c r="Y23" s="139" t="inlineStr">
        <x:is>
          <x:t xml:space="preserve">Pendente</x:t>
        </x:is>
      </x:c>
      <x:c r="Z23" s="138" t="inlineStr">
        <x:is>
          <x:t xml:space="preserve">Benefício ILUSTRATIVO da oportunidade após resposta; Interfaces preparadas aumentam a chance e o benefício de instalação mais rápida e menor desperdício de materiais. Não é estimativa de simulação nem decisão aprovada de aceitação.</x:t>
        </x:is>
      </x:c>
    </x:row>
    <x:row r="24" ht="81" customHeight="1">
      <x:c r="A24" s="6" t="s">
        <x:v>73</x:v>
      </x:c>
      <x:c r="B24" s="131" t="inlineStr">
        <x:is>
          <x:t xml:space="preserve">Desconto por compra em volume</x:t>
        </x:is>
      </x:c>
      <x:c r="C24" s="131" t="inlineStr">
        <x:is>
          <x:t xml:space="preserve">Compras consolidadas podem reduzir custos de materiais selecionados.</x:t>
        </x:is>
      </x:c>
      <x:c r="D24" s="133" t="inlineStr">
        <x:is>
          <x:t xml:space="preserve">Comercial</x:t>
        </x:is>
      </x:c>
      <x:c r="E24" s="133" t="inlineStr">
        <x:is>
          <x:t xml:space="preserve">Oportunidade</x:t>
        </x:is>
      </x:c>
      <x:c r="F24" s="35">
        <x:v>0.25</x:v>
      </x:c>
      <x:c r="G24" s="19" t="s">
        <x:v>60</x:v>
      </x:c>
      <x:c r="H24" s="133" t="inlineStr">
        <x:is>
          <x:t xml:space="preserve">Custo</x:t>
        </x:is>
      </x:c>
      <x:c r="I24" s="134" t="inlineStr">
        <x:is>
          <x:t xml:space="preserve">Desconto por volume do fornecedor</x:t>
        </x:is>
      </x:c>
      <x:c r="J24" s="135" t="inlineStr">
        <x:is>
          <x:t xml:space="preserve">Gerente de suprimentos</x:t>
        </x:is>
      </x:c>
      <x:c r="K24" s="136" t="inlineStr">
        <x:is>
          <x:t xml:space="preserve">Explorar</x:t>
        </x:is>
      </x:c>
      <x:c r="L24" s="137" t="inlineStr">
        <x:is>
          <x:t xml:space="preserve">Consolidar quantidades de compras e negociar acordos de preços por volume com fornecedores aprovados.</x:t>
        </x:is>
      </x:c>
      <x:c r="M24" s="136" t="inlineStr">
        <x:is>
          <x:t xml:space="preserve">Encerrado</x:t>
        </x:is>
      </x:c>
      <x:c r="N24" s="21" t="s">
        <x:v>16</x:v>
      </x:c>
      <x:c r="O24" s="134" t="inlineStr">
        <x:is>
          <x:t xml:space="preserve">Oportunidade de custo | As novas avaliações e respostas V2.2 são ilustrativas; a situação e o valor Ativo originais são preservados como atributos do cenário.</x:t>
        </x:is>
      </x:c>
      <x:c r="P24" s="17" t="b">
        <x:v>1</x:v>
      </x:c>
      <x:c r="Q24" s="32">
        <x:v>1</x:v>
      </x:c>
      <x:c r="R24" s="32">
        <x:v>3</x:v>
      </x:c>
      <x:c r="S24" s="138" t="inlineStr">
        <x:is>
          <x:t xml:space="preserve">Avaliação inicial de impacto ILUSTRATIVA: compras em volume podem reduzir despesas de materiais; nenhum benefício de prazo está mapeado (classe mínima de prazo 1).</x:t>
        </x:is>
      </x:c>
      <x:c r="T24" s="139" t="inlineStr">
        <x:is>
          <x:t xml:space="preserve">Gerente de suprimentos</x:t>
        </x:is>
      </x:c>
      <x:c r="U24" s="140" t="inlineStr">
        <x:is>
          <x:t xml:space="preserve">Antes dos pedidos dos pacotes de materiais</x:t>
        </x:is>
      </x:c>
      <x:c r="V24" s="33">
        <x:v>0.35</x:v>
      </x:c>
      <x:c r="W24" s="32">
        <x:v>1</x:v>
      </x:c>
      <x:c r="X24" s="32">
        <x:v>4</x:v>
      </x:c>
      <x:c r="Y24" s="139" t="inlineStr">
        <x:is>
          <x:t xml:space="preserve">Pendente</x:t>
        </x:is>
      </x:c>
      <x:c r="Z24" s="138" t="inlineStr">
        <x:is>
          <x:t xml:space="preserve">Benefício ILUSTRATIVO da oportunidade após resposta; Compras consolidadas aumentam a chance de desconto e a economia de custos diretos; nenhuma economia de prazo está mapeada. Não é estimativa de simulação nem decisão aprovada de aceitação.</x:t>
        </x:is>
      </x:c>
    </x:row>
    <x:row r="25" ht="96" customHeight="1">
      <x:c r="A25" s="6" t="s">
        <x:v>74</x:v>
      </x:c>
      <x:c r="B25" s="131" t="inlineStr">
        <x:is>
          <x:t xml:space="preserve">Definição antecipada do projeto técnico</x:t>
        </x:is>
      </x:c>
      <x:c r="C25" s="131" t="inlineStr">
        <x:is>
          <x:t xml:space="preserve">A definição oportuna de decisões de projeto pode reduzir retrabalho e melhorar o fluxo.</x:t>
        </x:is>
      </x:c>
      <x:c r="D25" s="133" t="inlineStr">
        <x:is>
          <x:t xml:space="preserve">Projeto técnico</x:t>
        </x:is>
      </x:c>
      <x:c r="E25" s="133" t="inlineStr">
        <x:is>
          <x:t xml:space="preserve">Oportunidade</x:t>
        </x:is>
      </x:c>
      <x:c r="F25" s="35">
        <x:v>0.2</x:v>
      </x:c>
      <x:c r="G25" s="19" t="s">
        <x:v>51</x:v>
      </x:c>
      <x:c r="H25" s="133" t="inlineStr">
        <x:is>
          <x:t xml:space="preserve">Ambos</x:t>
        </x:is>
      </x:c>
      <x:c r="I25" s="134" t="inlineStr">
        <x:is>
          <x:t xml:space="preserve">Governança sólida dos projetos técnicos</x:t>
        </x:is>
      </x:c>
      <x:c r="J25" s="135" t="inlineStr">
        <x:is>
          <x:t xml:space="preserve">Gerente de projetos técnicos</x:t>
        </x:is>
      </x:c>
      <x:c r="K25" s="136" t="inlineStr">
        <x:is>
          <x:t xml:space="preserve">Melhorar</x:t>
        </x:is>
      </x:c>
      <x:c r="L25" s="137" t="inlineStr">
        <x:is>
          <x:t xml:space="preserve">Obter aprovação coordenada dos projetos técnicos e decisões do cliente antes da liberação dos pacotes subsequentes.</x:t>
        </x:is>
      </x:c>
      <x:c r="M25" s="136" t="inlineStr">
        <x:is>
          <x:t xml:space="preserve">Aberto</x:t>
        </x:is>
      </x:c>
      <x:c r="N25" s="21" t="s">
        <x:v>18</x:v>
      </x:c>
      <x:c r="O25" s="134" t="inlineStr">
        <x:is>
          <x:t xml:space="preserve">Benefício para a execução subsequente | As novas avaliações e respostas V2.2 são ilustrativas; a situação e o valor Ativo originais são preservados como atributos do cenário.</x:t>
        </x:is>
      </x:c>
      <x:c r="P25" s="17" t="b">
        <x:v>1</x:v>
      </x:c>
      <x:c r="Q25" s="32">
        <x:v>4</x:v>
      </x:c>
      <x:c r="R25" s="32">
        <x:v>3</x:v>
      </x:c>
      <x:c r="S25" s="138" t="inlineStr">
        <x:is>
          <x:t xml:space="preserve">Avaliação inicial de impacto ILUSTRATIVA: decisões antecipadas e coordenadas de projeto podem evitar espera, revisões e custos diretos de retrabalho nas etapas seguintes.</x:t>
        </x:is>
      </x:c>
      <x:c r="T25" s="139" t="inlineStr">
        <x:is>
          <x:t xml:space="preserve">Gerente de projetos técnicos</x:t>
        </x:is>
      </x:c>
      <x:c r="U25" s="140" t="inlineStr">
        <x:is>
          <x:t xml:space="preserve">Antes da estrutura A07</x:t>
        </x:is>
      </x:c>
      <x:c r="V25" s="33">
        <x:v>0.3</x:v>
      </x:c>
      <x:c r="W25" s="32">
        <x:v>4</x:v>
      </x:c>
      <x:c r="X25" s="32">
        <x:v>4</x:v>
      </x:c>
      <x:c r="Y25" s="139" t="inlineStr">
        <x:is>
          <x:t xml:space="preserve">Pendente</x:t>
        </x:is>
      </x:c>
      <x:c r="Z25" s="138" t="inlineStr">
        <x:is>
          <x:t xml:space="preserve">Benefício ILUSTRATIVO da oportunidade após resposta; A definição antecipada dos projetos amplia os atrasos evitados e a economia direta com revisão de projeto/retrabalho. Não é estimativa de simulação nem decisão aprovada de aceitação.</x:t>
        </x:is>
      </x:c>
    </x:row>
    <x:row r="26" ht="81" customHeight="1">
      <x:c r="A26" s="6" t="s">
        <x:v>75</x:v>
      </x:c>
      <x:c r="B26" s="131" t="inlineStr">
        <x:is>
          <x:t xml:space="preserve">Aprovação acelerada pelo órgão competente</x:t>
        </x:is>
      </x:c>
      <x:c r="C26" s="131" t="inlineStr">
        <x:is>
          <x:t xml:space="preserve">Documentação completa e articulação antecipada podem reduzir os prazos de aprovação.</x:t>
        </x:is>
      </x:c>
      <x:c r="D26" s="133" t="inlineStr">
        <x:is>
          <x:t xml:space="preserve">Regulatório</x:t>
        </x:is>
      </x:c>
      <x:c r="E26" s="133" t="inlineStr">
        <x:is>
          <x:t xml:space="preserve">Oportunidade</x:t>
        </x:is>
      </x:c>
      <x:c r="F26" s="35">
        <x:v>0.12</x:v>
      </x:c>
      <x:c r="G26" s="19" t="s">
        <x:v>60</x:v>
      </x:c>
      <x:c r="H26" s="133" t="inlineStr">
        <x:is>
          <x:t xml:space="preserve">Duração</x:t>
        </x:is>
      </x:c>
      <x:c r="I26" s="134" t="inlineStr">
        <x:is>
          <x:t xml:space="preserve">Coordenação eficaz com o órgão competente</x:t>
        </x:is>
      </x:c>
      <x:c r="J26" s="135" t="inlineStr">
        <x:is>
          <x:t xml:space="preserve">Gerente do projeto</x:t>
        </x:is>
      </x:c>
      <x:c r="K26" s="136" t="inlineStr">
        <x:is>
          <x:t xml:space="preserve">Melhorar</x:t>
        </x:is>
      </x:c>
      <x:c r="L26" s="137" t="inlineStr">
        <x:is>
          <x:t xml:space="preserve">Realizar reunião prévia com o órgão competente e apresentar documentação completa e revisada para aprovação.</x:t>
        </x:is>
      </x:c>
      <x:c r="M26" s="136" t="inlineStr">
        <x:is>
          <x:t xml:space="preserve">Em monitoramento</x:t>
        </x:is>
      </x:c>
      <x:c r="N26" s="21" t="s">
        <x:v>21</x:v>
      </x:c>
      <x:c r="O26" s="134" t="inlineStr">
        <x:is>
          <x:t xml:space="preserve">Oportunidade na aprovação final | As novas avaliações e respostas V2.2 são ilustrativas; a situação e o valor Ativo originais são preservados como atributos do cenário.</x:t>
        </x:is>
      </x:c>
      <x:c r="P26" s="17" t="b">
        <x:v>1</x:v>
      </x:c>
      <x:c r="Q26" s="32">
        <x:v>3</x:v>
      </x:c>
      <x:c r="R26" s="32">
        <x:v>1</x:v>
      </x:c>
      <x:c r="S26" s="138" t="inlineStr">
        <x:is>
          <x:t xml:space="preserve">Avaliação inicial de impacto ILUSTRATIVA: aprovação mais rápida pelo órgão competente reduz o prazo de entrega. A29 e A30 são exemplos de taxas fixas; não se modela economia proporcional ao tempo nesses pacotes.</x:t>
        </x:is>
      </x:c>
      <x:c r="T26" s="139" t="inlineStr">
        <x:is>
          <x:t xml:space="preserve">Gerente do projeto</x:t>
        </x:is>
      </x:c>
      <x:c r="U26" s="140" t="inlineStr">
        <x:is>
          <x:t xml:space="preserve">Antes da inspeção final A29</x:t>
        </x:is>
      </x:c>
      <x:c r="V26" s="33">
        <x:v>0.22</x:v>
      </x:c>
      <x:c r="W26" s="32">
        <x:v>4</x:v>
      </x:c>
      <x:c r="X26" s="32">
        <x:v>1</x:v>
      </x:c>
      <x:c r="Y26" s="139" t="inlineStr">
        <x:is>
          <x:t xml:space="preserve">Pendente</x:t>
        </x:is>
      </x:c>
      <x:c r="Z26" s="138" t="inlineStr">
        <x:is>
          <x:t xml:space="preserve">Benefício ILUSTRATIVO de oportunidade: documentação completa e antecipada aumenta a chance de aprovação mais rápida. Não se modela economia temporal nos pacotes finais de taxa fixa. A aceitação permanece Pendente.</x:t>
        </x:is>
      </x:c>
    </x:row>
    <x:row r="27" ht="30" customHeight="1">
      <x:c r="A27" s="6"/>
      <x:c r="B27" s="6"/>
      <x:c r="C27" s="6"/>
      <x:c r="D27" s="19"/>
      <x:c r="E27" s="19"/>
      <x:c r="F27" s="35"/>
      <x:c r="G27" s="19"/>
      <x:c r="H27" s="19"/>
      <x:c r="I27" s="17"/>
      <x:c r="J27" s="21"/>
      <x:c r="K27" s="21"/>
      <x:c r="L27" s="17"/>
      <x:c r="M27" s="21"/>
      <x:c r="N27" s="21"/>
      <x:c r="O27" s="17"/>
      <x:c r="P27" s="17"/>
      <x:c r="Q27" s="32"/>
      <x:c r="R27" s="32"/>
      <x:c r="S27" s="29"/>
      <x:c r="T27" s="32"/>
      <x:c r="U27" s="31"/>
      <x:c r="V27" s="33"/>
      <x:c r="W27" s="32"/>
      <x:c r="X27" s="32"/>
      <x:c r="Y27" s="32"/>
      <x:c r="Z27" s="29"/>
    </x:row>
    <x:row r="28" ht="30" customHeight="1">
      <x:c r="A28" s="6"/>
      <x:c r="B28" s="6"/>
      <x:c r="C28" s="6"/>
      <x:c r="D28" s="19"/>
      <x:c r="E28" s="19"/>
      <x:c r="F28" s="35"/>
      <x:c r="G28" s="19"/>
      <x:c r="H28" s="19"/>
      <x:c r="I28" s="17"/>
      <x:c r="J28" s="21"/>
      <x:c r="K28" s="21"/>
      <x:c r="L28" s="17"/>
      <x:c r="M28" s="21"/>
      <x:c r="N28" s="21"/>
      <x:c r="O28" s="17"/>
      <x:c r="P28" s="17"/>
      <x:c r="Q28" s="32"/>
      <x:c r="R28" s="32"/>
      <x:c r="S28" s="29"/>
      <x:c r="T28" s="32"/>
      <x:c r="U28" s="31"/>
      <x:c r="V28" s="33"/>
      <x:c r="W28" s="32"/>
      <x:c r="X28" s="32"/>
      <x:c r="Y28" s="32"/>
      <x:c r="Z28" s="29"/>
    </x:row>
    <x:row r="29" ht="30" customHeight="1">
      <x:c r="A29" s="6"/>
      <x:c r="B29" s="6"/>
      <x:c r="C29" s="6"/>
      <x:c r="D29" s="19"/>
      <x:c r="E29" s="19"/>
      <x:c r="F29" s="35"/>
      <x:c r="G29" s="19"/>
      <x:c r="H29" s="19"/>
      <x:c r="I29" s="17"/>
      <x:c r="J29" s="21"/>
      <x:c r="K29" s="21"/>
      <x:c r="L29" s="17"/>
      <x:c r="M29" s="21"/>
      <x:c r="N29" s="21"/>
      <x:c r="O29" s="17"/>
      <x:c r="P29" s="17"/>
      <x:c r="Q29" s="32"/>
      <x:c r="R29" s="32"/>
      <x:c r="S29" s="29"/>
      <x:c r="T29" s="32"/>
      <x:c r="U29" s="31"/>
      <x:c r="V29" s="33"/>
      <x:c r="W29" s="32"/>
      <x:c r="X29" s="32"/>
      <x:c r="Y29" s="32"/>
      <x:c r="Z29" s="29"/>
    </x:row>
    <x:row r="30" ht="30" customHeight="1">
      <x:c r="A30" s="6"/>
      <x:c r="B30" s="6"/>
      <x:c r="C30" s="6"/>
      <x:c r="D30" s="19"/>
      <x:c r="E30" s="19"/>
      <x:c r="F30" s="35"/>
      <x:c r="G30" s="19"/>
      <x:c r="H30" s="19"/>
      <x:c r="I30" s="17"/>
      <x:c r="J30" s="21"/>
      <x:c r="K30" s="21"/>
      <x:c r="L30" s="17"/>
      <x:c r="M30" s="21"/>
      <x:c r="N30" s="21"/>
      <x:c r="O30" s="17"/>
      <x:c r="P30" s="17"/>
      <x:c r="Q30" s="32"/>
      <x:c r="R30" s="32"/>
      <x:c r="S30" s="29"/>
      <x:c r="T30" s="32"/>
      <x:c r="U30" s="31"/>
      <x:c r="V30" s="33"/>
      <x:c r="W30" s="32"/>
      <x:c r="X30" s="32"/>
      <x:c r="Y30" s="32"/>
      <x:c r="Z30" s="29"/>
    </x:row>
    <x:row r="31" ht="30" customHeight="1">
      <x:c r="A31" s="18"/>
      <x:c r="B31" s="18"/>
      <x:c r="C31" s="18"/>
      <x:c r="D31" s="20"/>
      <x:c r="E31" s="20"/>
      <x:c r="F31" s="36"/>
      <x:c r="G31" s="20"/>
      <x:c r="H31" s="20"/>
      <x:c r="I31" s="18"/>
      <x:c r="J31" s="20"/>
      <x:c r="K31" s="20"/>
      <x:c r="L31" s="18"/>
      <x:c r="M31" s="20"/>
      <x:c r="N31" s="20"/>
      <x:c r="O31" s="18"/>
      <x:c r="P31" s="18"/>
      <x:c r="Q31" s="32"/>
      <x:c r="R31" s="32"/>
      <x:c r="S31" s="29"/>
      <x:c r="T31" s="32"/>
      <x:c r="U31" s="31"/>
      <x:c r="V31" s="33"/>
      <x:c r="W31" s="32"/>
      <x:c r="X31" s="32"/>
      <x:c r="Y31" s="32"/>
      <x:c r="Z31" s="29"/>
    </x:row>
    <x:row r="32" ht="30" customHeight="1">
      <x:c r="A32" s="18"/>
      <x:c r="B32" s="18"/>
      <x:c r="C32" s="18"/>
      <x:c r="D32" s="20"/>
      <x:c r="E32" s="20"/>
      <x:c r="F32" s="36"/>
      <x:c r="G32" s="20"/>
      <x:c r="H32" s="20"/>
      <x:c r="I32" s="18"/>
      <x:c r="J32" s="20"/>
      <x:c r="K32" s="20"/>
      <x:c r="L32" s="18"/>
      <x:c r="M32" s="20"/>
      <x:c r="N32" s="20"/>
      <x:c r="O32" s="18"/>
      <x:c r="P32" s="18"/>
      <x:c r="Q32" s="32"/>
      <x:c r="R32" s="32"/>
      <x:c r="S32" s="29"/>
      <x:c r="T32" s="32"/>
      <x:c r="U32" s="31"/>
      <x:c r="V32" s="33"/>
      <x:c r="W32" s="32"/>
      <x:c r="X32" s="32"/>
      <x:c r="Y32" s="32"/>
      <x:c r="Z32" s="29"/>
    </x:row>
    <x:row r="33" ht="30" customHeight="1">
      <x:c r="A33" s="18"/>
      <x:c r="B33" s="18"/>
      <x:c r="C33" s="18"/>
      <x:c r="D33" s="20"/>
      <x:c r="E33" s="20"/>
      <x:c r="F33" s="36"/>
      <x:c r="G33" s="20"/>
      <x:c r="H33" s="20"/>
      <x:c r="I33" s="18"/>
      <x:c r="J33" s="20"/>
      <x:c r="K33" s="20"/>
      <x:c r="L33" s="18"/>
      <x:c r="M33" s="20"/>
      <x:c r="N33" s="20"/>
      <x:c r="O33" s="18"/>
      <x:c r="P33" s="18"/>
      <x:c r="Q33" s="32"/>
      <x:c r="R33" s="32"/>
      <x:c r="S33" s="29"/>
      <x:c r="T33" s="32"/>
      <x:c r="U33" s="31"/>
      <x:c r="V33" s="33"/>
      <x:c r="W33" s="32"/>
      <x:c r="X33" s="32"/>
      <x:c r="Y33" s="32"/>
      <x:c r="Z33" s="29"/>
    </x:row>
    <x:row r="34" ht="30" customHeight="1">
      <x:c r="A34" s="18"/>
      <x:c r="B34" s="18"/>
      <x:c r="C34" s="18"/>
      <x:c r="D34" s="20"/>
      <x:c r="E34" s="20"/>
      <x:c r="F34" s="36"/>
      <x:c r="G34" s="20"/>
      <x:c r="H34" s="20"/>
      <x:c r="I34" s="18"/>
      <x:c r="J34" s="20"/>
      <x:c r="K34" s="20"/>
      <x:c r="L34" s="18"/>
      <x:c r="M34" s="20"/>
      <x:c r="N34" s="20"/>
      <x:c r="O34" s="18"/>
      <x:c r="P34" s="18"/>
      <x:c r="Q34" s="32"/>
      <x:c r="R34" s="32"/>
      <x:c r="S34" s="29"/>
      <x:c r="T34" s="32"/>
      <x:c r="U34" s="31"/>
      <x:c r="V34" s="33"/>
      <x:c r="W34" s="32"/>
      <x:c r="X34" s="32"/>
      <x:c r="Y34" s="32"/>
      <x:c r="Z34" s="29"/>
    </x:row>
    <x:row r="35" ht="30" customHeight="1">
      <x:c r="A35" s="18"/>
      <x:c r="B35" s="18"/>
      <x:c r="C35" s="18"/>
      <x:c r="D35" s="20"/>
      <x:c r="E35" s="20"/>
      <x:c r="F35" s="36"/>
      <x:c r="G35" s="20"/>
      <x:c r="H35" s="20"/>
      <x:c r="I35" s="18"/>
      <x:c r="J35" s="20"/>
      <x:c r="K35" s="20"/>
      <x:c r="L35" s="18"/>
      <x:c r="M35" s="20"/>
      <x:c r="N35" s="20"/>
      <x:c r="O35" s="18"/>
      <x:c r="P35" s="18"/>
      <x:c r="Q35" s="32"/>
      <x:c r="R35" s="32"/>
      <x:c r="S35" s="29"/>
      <x:c r="T35" s="32"/>
      <x:c r="U35" s="31"/>
      <x:c r="V35" s="33"/>
      <x:c r="W35" s="32"/>
      <x:c r="X35" s="32"/>
      <x:c r="Y35" s="32"/>
      <x:c r="Z35" s="29"/>
    </x:row>
    <x:row r="36" ht="30" customHeight="1">
      <x:c r="A36" s="18"/>
      <x:c r="B36" s="18"/>
      <x:c r="C36" s="18"/>
      <x:c r="D36" s="20"/>
      <x:c r="E36" s="20"/>
      <x:c r="F36" s="36"/>
      <x:c r="G36" s="20"/>
      <x:c r="H36" s="20"/>
      <x:c r="I36" s="18"/>
      <x:c r="J36" s="20"/>
      <x:c r="K36" s="20"/>
      <x:c r="L36" s="18"/>
      <x:c r="M36" s="20"/>
      <x:c r="N36" s="20"/>
      <x:c r="O36" s="18"/>
      <x:c r="P36" s="18"/>
      <x:c r="Q36" s="32"/>
      <x:c r="R36" s="32"/>
      <x:c r="S36" s="29"/>
      <x:c r="T36" s="32"/>
      <x:c r="U36" s="31"/>
      <x:c r="V36" s="33"/>
      <x:c r="W36" s="32"/>
      <x:c r="X36" s="32"/>
      <x:c r="Y36" s="32"/>
      <x:c r="Z36" s="29"/>
    </x:row>
    <x:row r="37" ht="30" customHeight="1">
      <x:c r="A37" s="18"/>
      <x:c r="B37" s="18"/>
      <x:c r="C37" s="18"/>
      <x:c r="D37" s="20"/>
      <x:c r="E37" s="20"/>
      <x:c r="F37" s="36"/>
      <x:c r="G37" s="20"/>
      <x:c r="H37" s="20"/>
      <x:c r="I37" s="18"/>
      <x:c r="J37" s="20"/>
      <x:c r="K37" s="20"/>
      <x:c r="L37" s="18"/>
      <x:c r="M37" s="20"/>
      <x:c r="N37" s="20"/>
      <x:c r="O37" s="18"/>
      <x:c r="P37" s="18"/>
      <x:c r="Q37" s="32"/>
      <x:c r="R37" s="32"/>
      <x:c r="S37" s="29"/>
      <x:c r="T37" s="32"/>
      <x:c r="U37" s="31"/>
      <x:c r="V37" s="33"/>
      <x:c r="W37" s="32"/>
      <x:c r="X37" s="32"/>
      <x:c r="Y37" s="32"/>
      <x:c r="Z37" s="29"/>
    </x:row>
    <x:row r="38" ht="30" customHeight="1">
      <x:c r="A38" s="18"/>
      <x:c r="B38" s="18"/>
      <x:c r="C38" s="18"/>
      <x:c r="D38" s="20"/>
      <x:c r="E38" s="20"/>
      <x:c r="F38" s="36"/>
      <x:c r="G38" s="20"/>
      <x:c r="H38" s="20"/>
      <x:c r="I38" s="18"/>
      <x:c r="J38" s="20"/>
      <x:c r="K38" s="20"/>
      <x:c r="L38" s="18"/>
      <x:c r="M38" s="20"/>
      <x:c r="N38" s="20"/>
      <x:c r="O38" s="18"/>
      <x:c r="P38" s="18"/>
      <x:c r="Q38" s="32"/>
      <x:c r="R38" s="32"/>
      <x:c r="S38" s="29"/>
      <x:c r="T38" s="32"/>
      <x:c r="U38" s="31"/>
      <x:c r="V38" s="33"/>
      <x:c r="W38" s="32"/>
      <x:c r="X38" s="32"/>
      <x:c r="Y38" s="32"/>
      <x:c r="Z38" s="29"/>
    </x:row>
    <x:row r="39" ht="30" customHeight="1">
      <x:c r="A39" s="18"/>
      <x:c r="B39" s="18"/>
      <x:c r="C39" s="18"/>
      <x:c r="D39" s="20"/>
      <x:c r="E39" s="20"/>
      <x:c r="F39" s="36"/>
      <x:c r="G39" s="20"/>
      <x:c r="H39" s="20"/>
      <x:c r="I39" s="18"/>
      <x:c r="J39" s="20"/>
      <x:c r="K39" s="20"/>
      <x:c r="L39" s="18"/>
      <x:c r="M39" s="20"/>
      <x:c r="N39" s="20"/>
      <x:c r="O39" s="18"/>
      <x:c r="P39" s="18"/>
      <x:c r="Q39" s="32"/>
      <x:c r="R39" s="32"/>
      <x:c r="S39" s="29"/>
      <x:c r="T39" s="32"/>
      <x:c r="U39" s="31"/>
      <x:c r="V39" s="33"/>
      <x:c r="W39" s="32"/>
      <x:c r="X39" s="32"/>
      <x:c r="Y39" s="32"/>
      <x:c r="Z39" s="29"/>
    </x:row>
    <x:row r="40" ht="30" customHeight="1">
      <x:c r="A40" s="18"/>
      <x:c r="B40" s="18"/>
      <x:c r="C40" s="18"/>
      <x:c r="D40" s="20"/>
      <x:c r="E40" s="20"/>
      <x:c r="F40" s="36"/>
      <x:c r="G40" s="20"/>
      <x:c r="H40" s="20"/>
      <x:c r="I40" s="18"/>
      <x:c r="J40" s="20"/>
      <x:c r="K40" s="20"/>
      <x:c r="L40" s="18"/>
      <x:c r="M40" s="20"/>
      <x:c r="N40" s="20"/>
      <x:c r="O40" s="18"/>
      <x:c r="P40" s="18"/>
      <x:c r="Q40" s="32"/>
      <x:c r="R40" s="32"/>
      <x:c r="S40" s="29"/>
      <x:c r="T40" s="32"/>
      <x:c r="U40" s="31"/>
      <x:c r="V40" s="33"/>
      <x:c r="W40" s="32"/>
      <x:c r="X40" s="32"/>
      <x:c r="Y40" s="32"/>
      <x:c r="Z40" s="29"/>
    </x:row>
    <x:row r="41" ht="30" customHeight="1">
      <x:c r="A41" s="18"/>
      <x:c r="B41" s="18"/>
      <x:c r="C41" s="18"/>
      <x:c r="D41" s="20"/>
      <x:c r="E41" s="20"/>
      <x:c r="F41" s="36"/>
      <x:c r="G41" s="20"/>
      <x:c r="H41" s="20"/>
      <x:c r="I41" s="18"/>
      <x:c r="J41" s="20"/>
      <x:c r="K41" s="20"/>
      <x:c r="L41" s="18"/>
      <x:c r="M41" s="20"/>
      <x:c r="N41" s="20"/>
      <x:c r="O41" s="18"/>
      <x:c r="P41" s="18"/>
      <x:c r="Q41" s="32"/>
      <x:c r="R41" s="32"/>
      <x:c r="S41" s="29"/>
      <x:c r="T41" s="32"/>
      <x:c r="U41" s="31"/>
      <x:c r="V41" s="33"/>
      <x:c r="W41" s="32"/>
      <x:c r="X41" s="32"/>
      <x:c r="Y41" s="32"/>
      <x:c r="Z41" s="29"/>
    </x:row>
    <x:row r="42" ht="30" customHeight="1">
      <x:c r="A42" s="18"/>
      <x:c r="B42" s="18"/>
      <x:c r="C42" s="18"/>
      <x:c r="D42" s="20"/>
      <x:c r="E42" s="20"/>
      <x:c r="F42" s="36"/>
      <x:c r="G42" s="20"/>
      <x:c r="H42" s="20"/>
      <x:c r="I42" s="18"/>
      <x:c r="J42" s="20"/>
      <x:c r="K42" s="20"/>
      <x:c r="L42" s="18"/>
      <x:c r="M42" s="20"/>
      <x:c r="N42" s="20"/>
      <x:c r="O42" s="18"/>
      <x:c r="P42" s="18"/>
      <x:c r="Q42" s="32"/>
      <x:c r="R42" s="32"/>
      <x:c r="S42" s="29"/>
      <x:c r="T42" s="32"/>
      <x:c r="U42" s="31"/>
      <x:c r="V42" s="33"/>
      <x:c r="W42" s="32"/>
      <x:c r="X42" s="32"/>
      <x:c r="Y42" s="32"/>
      <x:c r="Z42" s="29"/>
    </x:row>
    <x:row r="43" ht="30" customHeight="1">
      <x:c r="A43" s="18"/>
      <x:c r="B43" s="18"/>
      <x:c r="C43" s="18"/>
      <x:c r="D43" s="20"/>
      <x:c r="E43" s="20"/>
      <x:c r="F43" s="36"/>
      <x:c r="G43" s="20"/>
      <x:c r="H43" s="20"/>
      <x:c r="I43" s="18"/>
      <x:c r="J43" s="20"/>
      <x:c r="K43" s="20"/>
      <x:c r="L43" s="18"/>
      <x:c r="M43" s="20"/>
      <x:c r="N43" s="20"/>
      <x:c r="O43" s="18"/>
      <x:c r="P43" s="18"/>
      <x:c r="Q43" s="32"/>
      <x:c r="R43" s="32"/>
      <x:c r="S43" s="29"/>
      <x:c r="T43" s="32"/>
      <x:c r="U43" s="31"/>
      <x:c r="V43" s="33"/>
      <x:c r="W43" s="32"/>
      <x:c r="X43" s="32"/>
      <x:c r="Y43" s="32"/>
      <x:c r="Z43" s="29"/>
    </x:row>
    <x:row r="44" ht="30" customHeight="1">
      <x:c r="A44" s="18"/>
      <x:c r="B44" s="18"/>
      <x:c r="C44" s="18"/>
      <x:c r="D44" s="20"/>
      <x:c r="E44" s="20"/>
      <x:c r="F44" s="36"/>
      <x:c r="G44" s="20"/>
      <x:c r="H44" s="20"/>
      <x:c r="I44" s="18"/>
      <x:c r="J44" s="20"/>
      <x:c r="K44" s="20"/>
      <x:c r="L44" s="18"/>
      <x:c r="M44" s="20"/>
      <x:c r="N44" s="20"/>
      <x:c r="O44" s="18"/>
      <x:c r="P44" s="18"/>
      <x:c r="Q44" s="32"/>
      <x:c r="R44" s="32"/>
      <x:c r="S44" s="29"/>
      <x:c r="T44" s="32"/>
      <x:c r="U44" s="31"/>
      <x:c r="V44" s="33"/>
      <x:c r="W44" s="32"/>
      <x:c r="X44" s="32"/>
      <x:c r="Y44" s="32"/>
      <x:c r="Z44" s="29"/>
    </x:row>
    <x:row r="45" ht="30" customHeight="1">
      <x:c r="A45" s="18"/>
      <x:c r="B45" s="18"/>
      <x:c r="C45" s="18"/>
      <x:c r="D45" s="20"/>
      <x:c r="E45" s="20"/>
      <x:c r="F45" s="36"/>
      <x:c r="G45" s="20"/>
      <x:c r="H45" s="20"/>
      <x:c r="I45" s="18"/>
      <x:c r="J45" s="20"/>
      <x:c r="K45" s="20"/>
      <x:c r="L45" s="18"/>
      <x:c r="M45" s="20"/>
      <x:c r="N45" s="20"/>
      <x:c r="O45" s="18"/>
      <x:c r="P45" s="18"/>
      <x:c r="Q45" s="32"/>
      <x:c r="R45" s="32"/>
      <x:c r="S45" s="29"/>
      <x:c r="T45" s="32"/>
      <x:c r="U45" s="31"/>
      <x:c r="V45" s="33"/>
      <x:c r="W45" s="32"/>
      <x:c r="X45" s="32"/>
      <x:c r="Y45" s="32"/>
      <x:c r="Z45" s="29"/>
    </x:row>
    <x:row r="46" ht="30" customHeight="1">
      <x:c r="A46" s="18"/>
      <x:c r="B46" s="18"/>
      <x:c r="C46" s="18"/>
      <x:c r="D46" s="20"/>
      <x:c r="E46" s="20"/>
      <x:c r="F46" s="36"/>
      <x:c r="G46" s="20"/>
      <x:c r="H46" s="20"/>
      <x:c r="I46" s="18"/>
      <x:c r="J46" s="20"/>
      <x:c r="K46" s="20"/>
      <x:c r="L46" s="18"/>
      <x:c r="M46" s="20"/>
      <x:c r="N46" s="20"/>
      <x:c r="O46" s="18"/>
      <x:c r="P46" s="18"/>
      <x:c r="Q46" s="32"/>
      <x:c r="R46" s="32"/>
      <x:c r="S46" s="29"/>
      <x:c r="T46" s="32"/>
      <x:c r="U46" s="31"/>
      <x:c r="V46" s="33"/>
      <x:c r="W46" s="32"/>
      <x:c r="X46" s="32"/>
      <x:c r="Y46" s="32"/>
      <x:c r="Z46" s="29"/>
    </x:row>
    <x:row r="47" ht="30" customHeight="1">
      <x:c r="A47" s="18"/>
      <x:c r="B47" s="18"/>
      <x:c r="C47" s="18"/>
      <x:c r="D47" s="20"/>
      <x:c r="E47" s="20"/>
      <x:c r="F47" s="36"/>
      <x:c r="G47" s="20"/>
      <x:c r="H47" s="20"/>
      <x:c r="I47" s="18"/>
      <x:c r="J47" s="20"/>
      <x:c r="K47" s="20"/>
      <x:c r="L47" s="18"/>
      <x:c r="M47" s="20"/>
      <x:c r="N47" s="20"/>
      <x:c r="O47" s="18"/>
      <x:c r="P47" s="18"/>
      <x:c r="Q47" s="32"/>
      <x:c r="R47" s="32"/>
      <x:c r="S47" s="29"/>
      <x:c r="T47" s="32"/>
      <x:c r="U47" s="31"/>
      <x:c r="V47" s="33"/>
      <x:c r="W47" s="32"/>
      <x:c r="X47" s="32"/>
      <x:c r="Y47" s="32"/>
      <x:c r="Z47" s="29"/>
    </x:row>
    <x:row r="48" ht="30" customHeight="1">
      <x:c r="A48" s="18"/>
      <x:c r="B48" s="18"/>
      <x:c r="C48" s="18"/>
      <x:c r="D48" s="20"/>
      <x:c r="E48" s="20"/>
      <x:c r="F48" s="36"/>
      <x:c r="G48" s="20"/>
      <x:c r="H48" s="20"/>
      <x:c r="I48" s="18"/>
      <x:c r="J48" s="20"/>
      <x:c r="K48" s="20"/>
      <x:c r="L48" s="18"/>
      <x:c r="M48" s="20"/>
      <x:c r="N48" s="20"/>
      <x:c r="O48" s="18"/>
      <x:c r="P48" s="18"/>
      <x:c r="Q48" s="32"/>
      <x:c r="R48" s="32"/>
      <x:c r="S48" s="29"/>
      <x:c r="T48" s="32"/>
      <x:c r="U48" s="31"/>
      <x:c r="V48" s="33"/>
      <x:c r="W48" s="32"/>
      <x:c r="X48" s="32"/>
      <x:c r="Y48" s="32"/>
      <x:c r="Z48" s="29"/>
    </x:row>
    <x:row r="49" ht="30" customHeight="1">
      <x:c r="A49" s="18"/>
      <x:c r="B49" s="18"/>
      <x:c r="C49" s="18"/>
      <x:c r="D49" s="20"/>
      <x:c r="E49" s="20"/>
      <x:c r="F49" s="36"/>
      <x:c r="G49" s="20"/>
      <x:c r="H49" s="20"/>
      <x:c r="I49" s="18"/>
      <x:c r="J49" s="20"/>
      <x:c r="K49" s="20"/>
      <x:c r="L49" s="18"/>
      <x:c r="M49" s="20"/>
      <x:c r="N49" s="20"/>
      <x:c r="O49" s="18"/>
      <x:c r="P49" s="18"/>
      <x:c r="Q49" s="32"/>
      <x:c r="R49" s="32"/>
      <x:c r="S49" s="29"/>
      <x:c r="T49" s="32"/>
      <x:c r="U49" s="31"/>
      <x:c r="V49" s="33"/>
      <x:c r="W49" s="32"/>
      <x:c r="X49" s="32"/>
      <x:c r="Y49" s="32"/>
      <x:c r="Z49" s="29"/>
    </x:row>
    <x:row r="50" ht="30" customHeight="1">
      <x:c r="A50" s="18"/>
      <x:c r="B50" s="18"/>
      <x:c r="C50" s="18"/>
      <x:c r="D50" s="20"/>
      <x:c r="E50" s="20"/>
      <x:c r="F50" s="36"/>
      <x:c r="G50" s="20"/>
      <x:c r="H50" s="20"/>
      <x:c r="I50" s="18"/>
      <x:c r="J50" s="20"/>
      <x:c r="K50" s="20"/>
      <x:c r="L50" s="18"/>
      <x:c r="M50" s="20"/>
      <x:c r="N50" s="20"/>
      <x:c r="O50" s="18"/>
      <x:c r="P50" s="18"/>
      <x:c r="Q50" s="32"/>
      <x:c r="R50" s="32"/>
      <x:c r="S50" s="29"/>
      <x:c r="T50" s="32"/>
      <x:c r="U50" s="31"/>
      <x:c r="V50" s="33"/>
      <x:c r="W50" s="32"/>
      <x:c r="X50" s="32"/>
      <x:c r="Y50" s="32"/>
      <x:c r="Z50" s="29"/>
    </x:row>
    <x:row r="51" ht="30" customHeight="1">
      <x:c r="A51" s="18"/>
      <x:c r="B51" s="18"/>
      <x:c r="C51" s="18"/>
      <x:c r="D51" s="20"/>
      <x:c r="E51" s="20"/>
      <x:c r="F51" s="36"/>
      <x:c r="G51" s="20"/>
      <x:c r="H51" s="20"/>
      <x:c r="I51" s="18"/>
      <x:c r="J51" s="20"/>
      <x:c r="K51" s="20"/>
      <x:c r="L51" s="18"/>
      <x:c r="M51" s="20"/>
      <x:c r="N51" s="20"/>
      <x:c r="O51" s="18"/>
      <x:c r="P51" s="18"/>
      <x:c r="Q51" s="32"/>
      <x:c r="R51" s="32"/>
      <x:c r="S51" s="29"/>
      <x:c r="T51" s="32"/>
      <x:c r="U51" s="31"/>
      <x:c r="V51" s="33"/>
      <x:c r="W51" s="32"/>
      <x:c r="X51" s="32"/>
      <x:c r="Y51" s="32"/>
      <x:c r="Z51" s="29"/>
    </x:row>
    <x:row r="52" ht="30" customHeight="1">
      <x:c r="A52" s="18"/>
      <x:c r="B52" s="18"/>
      <x:c r="C52" s="18"/>
      <x:c r="D52" s="20"/>
      <x:c r="E52" s="20"/>
      <x:c r="F52" s="36"/>
      <x:c r="G52" s="20"/>
      <x:c r="H52" s="20"/>
      <x:c r="I52" s="18"/>
      <x:c r="J52" s="20"/>
      <x:c r="K52" s="20"/>
      <x:c r="L52" s="18"/>
      <x:c r="M52" s="20"/>
      <x:c r="N52" s="20"/>
      <x:c r="O52" s="18"/>
      <x:c r="P52" s="18"/>
      <x:c r="Q52" s="32"/>
      <x:c r="R52" s="32"/>
      <x:c r="S52" s="29"/>
      <x:c r="T52" s="32"/>
      <x:c r="U52" s="31"/>
      <x:c r="V52" s="33"/>
      <x:c r="W52" s="32"/>
      <x:c r="X52" s="32"/>
      <x:c r="Y52" s="32"/>
      <x:c r="Z52" s="29"/>
    </x:row>
    <x:row r="53" ht="30" customHeight="1">
      <x:c r="A53" s="18"/>
      <x:c r="B53" s="18"/>
      <x:c r="C53" s="18"/>
      <x:c r="D53" s="20"/>
      <x:c r="E53" s="20"/>
      <x:c r="F53" s="36"/>
      <x:c r="G53" s="20"/>
      <x:c r="H53" s="20"/>
      <x:c r="I53" s="18"/>
      <x:c r="J53" s="20"/>
      <x:c r="K53" s="20"/>
      <x:c r="L53" s="18"/>
      <x:c r="M53" s="20"/>
      <x:c r="N53" s="20"/>
      <x:c r="O53" s="18"/>
      <x:c r="P53" s="18"/>
      <x:c r="Q53" s="32"/>
      <x:c r="R53" s="32"/>
      <x:c r="S53" s="29"/>
      <x:c r="T53" s="32"/>
      <x:c r="U53" s="31"/>
      <x:c r="V53" s="33"/>
      <x:c r="W53" s="32"/>
      <x:c r="X53" s="32"/>
      <x:c r="Y53" s="32"/>
      <x:c r="Z53" s="29"/>
    </x:row>
    <x:row r="54" ht="30" customHeight="1">
      <x:c r="A54" s="18"/>
      <x:c r="B54" s="18"/>
      <x:c r="C54" s="18"/>
      <x:c r="D54" s="20"/>
      <x:c r="E54" s="20"/>
      <x:c r="F54" s="36"/>
      <x:c r="G54" s="20"/>
      <x:c r="H54" s="20"/>
      <x:c r="I54" s="18"/>
      <x:c r="J54" s="20"/>
      <x:c r="K54" s="20"/>
      <x:c r="L54" s="18"/>
      <x:c r="M54" s="20"/>
      <x:c r="N54" s="20"/>
      <x:c r="O54" s="18"/>
      <x:c r="P54" s="18"/>
      <x:c r="Q54" s="32"/>
      <x:c r="R54" s="32"/>
      <x:c r="S54" s="29"/>
      <x:c r="T54" s="32"/>
      <x:c r="U54" s="31"/>
      <x:c r="V54" s="33"/>
      <x:c r="W54" s="32"/>
      <x:c r="X54" s="32"/>
      <x:c r="Y54" s="32"/>
      <x:c r="Z54" s="29"/>
    </x:row>
    <x:row r="55" ht="30" customHeight="1">
      <x:c r="A55" s="18"/>
      <x:c r="B55" s="18"/>
      <x:c r="C55" s="18"/>
      <x:c r="D55" s="20"/>
      <x:c r="E55" s="20"/>
      <x:c r="F55" s="36"/>
      <x:c r="G55" s="20"/>
      <x:c r="H55" s="20"/>
      <x:c r="I55" s="18"/>
      <x:c r="J55" s="20"/>
      <x:c r="K55" s="20"/>
      <x:c r="L55" s="18"/>
      <x:c r="M55" s="20"/>
      <x:c r="N55" s="20"/>
      <x:c r="O55" s="18"/>
      <x:c r="P55" s="18"/>
      <x:c r="Q55" s="32"/>
      <x:c r="R55" s="32"/>
      <x:c r="S55" s="29"/>
      <x:c r="T55" s="32"/>
      <x:c r="U55" s="31"/>
      <x:c r="V55" s="33"/>
      <x:c r="W55" s="32"/>
      <x:c r="X55" s="32"/>
      <x:c r="Y55" s="32"/>
      <x:c r="Z55" s="29"/>
    </x:row>
    <x:row r="56" ht="30" customHeight="1">
      <x:c r="A56" s="18"/>
      <x:c r="B56" s="18"/>
      <x:c r="C56" s="18"/>
      <x:c r="D56" s="20"/>
      <x:c r="E56" s="20"/>
      <x:c r="F56" s="36"/>
      <x:c r="G56" s="20"/>
      <x:c r="H56" s="20"/>
      <x:c r="I56" s="18"/>
      <x:c r="J56" s="20"/>
      <x:c r="K56" s="20"/>
      <x:c r="L56" s="18"/>
      <x:c r="M56" s="20"/>
      <x:c r="N56" s="20"/>
      <x:c r="O56" s="18"/>
      <x:c r="P56" s="18"/>
      <x:c r="Q56" s="32"/>
      <x:c r="R56" s="32"/>
      <x:c r="S56" s="29"/>
      <x:c r="T56" s="32"/>
      <x:c r="U56" s="31"/>
      <x:c r="V56" s="33"/>
      <x:c r="W56" s="32"/>
      <x:c r="X56" s="32"/>
      <x:c r="Y56" s="32"/>
      <x:c r="Z56" s="29"/>
    </x:row>
    <x:row r="57" ht="30" customHeight="1">
      <x:c r="A57" s="18"/>
      <x:c r="B57" s="18"/>
      <x:c r="C57" s="18"/>
      <x:c r="D57" s="20"/>
      <x:c r="E57" s="20"/>
      <x:c r="F57" s="36"/>
      <x:c r="G57" s="20"/>
      <x:c r="H57" s="20"/>
      <x:c r="I57" s="18"/>
      <x:c r="J57" s="20"/>
      <x:c r="K57" s="20"/>
      <x:c r="L57" s="18"/>
      <x:c r="M57" s="20"/>
      <x:c r="N57" s="20"/>
      <x:c r="O57" s="18"/>
      <x:c r="P57" s="18"/>
      <x:c r="Q57" s="32"/>
      <x:c r="R57" s="32"/>
      <x:c r="S57" s="29"/>
      <x:c r="T57" s="32"/>
      <x:c r="U57" s="31"/>
      <x:c r="V57" s="33"/>
      <x:c r="W57" s="32"/>
      <x:c r="X57" s="32"/>
      <x:c r="Y57" s="32"/>
      <x:c r="Z57" s="29"/>
    </x:row>
    <x:row r="58" ht="30" customHeight="1">
      <x:c r="A58" s="18"/>
      <x:c r="B58" s="18"/>
      <x:c r="C58" s="18"/>
      <x:c r="D58" s="20"/>
      <x:c r="E58" s="20"/>
      <x:c r="F58" s="36"/>
      <x:c r="G58" s="20"/>
      <x:c r="H58" s="20"/>
      <x:c r="I58" s="18"/>
      <x:c r="J58" s="20"/>
      <x:c r="K58" s="20"/>
      <x:c r="L58" s="18"/>
      <x:c r="M58" s="20"/>
      <x:c r="N58" s="20"/>
      <x:c r="O58" s="18"/>
      <x:c r="P58" s="18"/>
      <x:c r="Q58" s="32"/>
      <x:c r="R58" s="32"/>
      <x:c r="S58" s="29"/>
      <x:c r="T58" s="32"/>
      <x:c r="U58" s="31"/>
      <x:c r="V58" s="33"/>
      <x:c r="W58" s="32"/>
      <x:c r="X58" s="32"/>
      <x:c r="Y58" s="32"/>
      <x:c r="Z58" s="29"/>
    </x:row>
    <x:row r="59" ht="30" customHeight="1">
      <x:c r="A59" s="18"/>
      <x:c r="B59" s="18"/>
      <x:c r="C59" s="18"/>
      <x:c r="D59" s="20"/>
      <x:c r="E59" s="20"/>
      <x:c r="F59" s="36"/>
      <x:c r="G59" s="20"/>
      <x:c r="H59" s="20"/>
      <x:c r="I59" s="18"/>
      <x:c r="J59" s="20"/>
      <x:c r="K59" s="20"/>
      <x:c r="L59" s="18"/>
      <x:c r="M59" s="20"/>
      <x:c r="N59" s="20"/>
      <x:c r="O59" s="18"/>
      <x:c r="P59" s="18"/>
      <x:c r="Q59" s="32"/>
      <x:c r="R59" s="32"/>
      <x:c r="S59" s="29"/>
      <x:c r="T59" s="32"/>
      <x:c r="U59" s="31"/>
      <x:c r="V59" s="33"/>
      <x:c r="W59" s="32"/>
      <x:c r="X59" s="32"/>
      <x:c r="Y59" s="32"/>
      <x:c r="Z59" s="29"/>
    </x:row>
    <x:row r="60" ht="30" customHeight="1">
      <x:c r="A60" s="18"/>
      <x:c r="B60" s="18"/>
      <x:c r="C60" s="18"/>
      <x:c r="D60" s="20"/>
      <x:c r="E60" s="20"/>
      <x:c r="F60" s="36"/>
      <x:c r="G60" s="20"/>
      <x:c r="H60" s="20"/>
      <x:c r="I60" s="18"/>
      <x:c r="J60" s="20"/>
      <x:c r="K60" s="20"/>
      <x:c r="L60" s="18"/>
      <x:c r="M60" s="20"/>
      <x:c r="N60" s="20"/>
      <x:c r="O60" s="18"/>
      <x:c r="P60" s="18"/>
      <x:c r="Q60" s="32"/>
      <x:c r="R60" s="32"/>
      <x:c r="S60" s="29"/>
      <x:c r="T60" s="32"/>
      <x:c r="U60" s="31"/>
      <x:c r="V60" s="33"/>
      <x:c r="W60" s="32"/>
      <x:c r="X60" s="32"/>
      <x:c r="Y60" s="32"/>
      <x:c r="Z60" s="29"/>
    </x:row>
    <x:row r="61" ht="30" customHeight="1">
      <x:c r="A61" s="18"/>
      <x:c r="B61" s="18"/>
      <x:c r="C61" s="18"/>
      <x:c r="D61" s="20"/>
      <x:c r="E61" s="20"/>
      <x:c r="F61" s="36"/>
      <x:c r="G61" s="20"/>
      <x:c r="H61" s="20"/>
      <x:c r="I61" s="18"/>
      <x:c r="J61" s="20"/>
      <x:c r="K61" s="20"/>
      <x:c r="L61" s="18"/>
      <x:c r="M61" s="20"/>
      <x:c r="N61" s="20"/>
      <x:c r="O61" s="18"/>
      <x:c r="P61" s="18"/>
      <x:c r="Q61" s="32"/>
      <x:c r="R61" s="32"/>
      <x:c r="S61" s="29"/>
      <x:c r="T61" s="32"/>
      <x:c r="U61" s="31"/>
      <x:c r="V61" s="33"/>
      <x:c r="W61" s="32"/>
      <x:c r="X61" s="32"/>
      <x:c r="Y61" s="32"/>
      <x:c r="Z61" s="29"/>
    </x:row>
    <x:row r="62" ht="30" customHeight="1">
      <x:c r="A62" s="18"/>
      <x:c r="B62" s="18"/>
      <x:c r="C62" s="18"/>
      <x:c r="D62" s="20"/>
      <x:c r="E62" s="20"/>
      <x:c r="F62" s="36"/>
      <x:c r="G62" s="20"/>
      <x:c r="H62" s="20"/>
      <x:c r="I62" s="18"/>
      <x:c r="J62" s="20"/>
      <x:c r="K62" s="20"/>
      <x:c r="L62" s="18"/>
      <x:c r="M62" s="20"/>
      <x:c r="N62" s="20"/>
      <x:c r="O62" s="18"/>
      <x:c r="P62" s="18"/>
      <x:c r="Q62" s="32"/>
      <x:c r="R62" s="32"/>
      <x:c r="S62" s="29"/>
      <x:c r="T62" s="32"/>
      <x:c r="U62" s="31"/>
      <x:c r="V62" s="33"/>
      <x:c r="W62" s="32"/>
      <x:c r="X62" s="32"/>
      <x:c r="Y62" s="32"/>
      <x:c r="Z62" s="29"/>
    </x:row>
    <x:row r="63" ht="30" customHeight="1">
      <x:c r="A63" s="18"/>
      <x:c r="B63" s="18"/>
      <x:c r="C63" s="18"/>
      <x:c r="D63" s="20"/>
      <x:c r="E63" s="20"/>
      <x:c r="F63" s="36"/>
      <x:c r="G63" s="20"/>
      <x:c r="H63" s="20"/>
      <x:c r="I63" s="18"/>
      <x:c r="J63" s="20"/>
      <x:c r="K63" s="20"/>
      <x:c r="L63" s="18"/>
      <x:c r="M63" s="20"/>
      <x:c r="N63" s="20"/>
      <x:c r="O63" s="18"/>
      <x:c r="P63" s="18"/>
      <x:c r="Q63" s="32"/>
      <x:c r="R63" s="32"/>
      <x:c r="S63" s="29"/>
      <x:c r="T63" s="32"/>
      <x:c r="U63" s="31"/>
      <x:c r="V63" s="33"/>
      <x:c r="W63" s="32"/>
      <x:c r="X63" s="32"/>
      <x:c r="Y63" s="32"/>
      <x:c r="Z63" s="29"/>
    </x:row>
    <x:row r="64" ht="30" customHeight="1">
      <x:c r="A64" s="18"/>
      <x:c r="B64" s="18"/>
      <x:c r="C64" s="18"/>
      <x:c r="D64" s="20"/>
      <x:c r="E64" s="20"/>
      <x:c r="F64" s="36"/>
      <x:c r="G64" s="20"/>
      <x:c r="H64" s="20"/>
      <x:c r="I64" s="18"/>
      <x:c r="J64" s="20"/>
      <x:c r="K64" s="20"/>
      <x:c r="L64" s="18"/>
      <x:c r="M64" s="20"/>
      <x:c r="N64" s="20"/>
      <x:c r="O64" s="18"/>
      <x:c r="P64" s="18"/>
      <x:c r="Q64" s="32"/>
      <x:c r="R64" s="32"/>
      <x:c r="S64" s="29"/>
      <x:c r="T64" s="32"/>
      <x:c r="U64" s="31"/>
      <x:c r="V64" s="33"/>
      <x:c r="W64" s="32"/>
      <x:c r="X64" s="32"/>
      <x:c r="Y64" s="32"/>
      <x:c r="Z64" s="29"/>
    </x:row>
    <x:row r="65" ht="30" customHeight="1">
      <x:c r="A65" s="18"/>
      <x:c r="B65" s="18"/>
      <x:c r="C65" s="18"/>
      <x:c r="D65" s="20"/>
      <x:c r="E65" s="20"/>
      <x:c r="F65" s="36"/>
      <x:c r="G65" s="20"/>
      <x:c r="H65" s="20"/>
      <x:c r="I65" s="18"/>
      <x:c r="J65" s="20"/>
      <x:c r="K65" s="20"/>
      <x:c r="L65" s="18"/>
      <x:c r="M65" s="20"/>
      <x:c r="N65" s="20"/>
      <x:c r="O65" s="18"/>
      <x:c r="P65" s="18"/>
      <x:c r="Q65" s="32"/>
      <x:c r="R65" s="32"/>
      <x:c r="S65" s="29"/>
      <x:c r="T65" s="32"/>
      <x:c r="U65" s="31"/>
      <x:c r="V65" s="33"/>
      <x:c r="W65" s="32"/>
      <x:c r="X65" s="32"/>
      <x:c r="Y65" s="32"/>
      <x:c r="Z65" s="29"/>
    </x:row>
    <x:row r="66" ht="30" customHeight="1">
      <x:c r="A66" s="18"/>
      <x:c r="B66" s="18"/>
      <x:c r="C66" s="18"/>
      <x:c r="D66" s="20"/>
      <x:c r="E66" s="20"/>
      <x:c r="F66" s="36"/>
      <x:c r="G66" s="20"/>
      <x:c r="H66" s="20"/>
      <x:c r="I66" s="18"/>
      <x:c r="J66" s="20"/>
      <x:c r="K66" s="20"/>
      <x:c r="L66" s="18"/>
      <x:c r="M66" s="20"/>
      <x:c r="N66" s="20"/>
      <x:c r="O66" s="18"/>
      <x:c r="P66" s="18"/>
      <x:c r="Q66" s="32"/>
      <x:c r="R66" s="32"/>
      <x:c r="S66" s="29"/>
      <x:c r="T66" s="32"/>
      <x:c r="U66" s="31"/>
      <x:c r="V66" s="33"/>
      <x:c r="W66" s="32"/>
      <x:c r="X66" s="32"/>
      <x:c r="Y66" s="32"/>
      <x:c r="Z66" s="29"/>
    </x:row>
    <x:row r="67" ht="30" customHeight="1">
      <x:c r="A67" s="18"/>
      <x:c r="B67" s="18"/>
      <x:c r="C67" s="18"/>
      <x:c r="D67" s="20"/>
      <x:c r="E67" s="20"/>
      <x:c r="F67" s="36"/>
      <x:c r="G67" s="20"/>
      <x:c r="H67" s="20"/>
      <x:c r="I67" s="18"/>
      <x:c r="J67" s="20"/>
      <x:c r="K67" s="20"/>
      <x:c r="L67" s="18"/>
      <x:c r="M67" s="20"/>
      <x:c r="N67" s="20"/>
      <x:c r="O67" s="18"/>
      <x:c r="P67" s="18"/>
      <x:c r="Q67" s="32"/>
      <x:c r="R67" s="32"/>
      <x:c r="S67" s="29"/>
      <x:c r="T67" s="32"/>
      <x:c r="U67" s="31"/>
      <x:c r="V67" s="33"/>
      <x:c r="W67" s="32"/>
      <x:c r="X67" s="32"/>
      <x:c r="Y67" s="32"/>
      <x:c r="Z67" s="29"/>
    </x:row>
    <x:row r="68" ht="30" customHeight="1">
      <x:c r="A68" s="18"/>
      <x:c r="B68" s="18"/>
      <x:c r="C68" s="18"/>
      <x:c r="D68" s="20"/>
      <x:c r="E68" s="20"/>
      <x:c r="F68" s="36"/>
      <x:c r="G68" s="20"/>
      <x:c r="H68" s="20"/>
      <x:c r="I68" s="18"/>
      <x:c r="J68" s="20"/>
      <x:c r="K68" s="20"/>
      <x:c r="L68" s="18"/>
      <x:c r="M68" s="20"/>
      <x:c r="N68" s="20"/>
      <x:c r="O68" s="18"/>
      <x:c r="P68" s="18"/>
      <x:c r="Q68" s="32"/>
      <x:c r="R68" s="32"/>
      <x:c r="S68" s="29"/>
      <x:c r="T68" s="32"/>
      <x:c r="U68" s="31"/>
      <x:c r="V68" s="33"/>
      <x:c r="W68" s="32"/>
      <x:c r="X68" s="32"/>
      <x:c r="Y68" s="32"/>
      <x:c r="Z68" s="29"/>
    </x:row>
    <x:row r="69" ht="30" customHeight="1">
      <x:c r="A69" s="18"/>
      <x:c r="B69" s="18"/>
      <x:c r="C69" s="18"/>
      <x:c r="D69" s="20"/>
      <x:c r="E69" s="20"/>
      <x:c r="F69" s="36"/>
      <x:c r="G69" s="20"/>
      <x:c r="H69" s="20"/>
      <x:c r="I69" s="18"/>
      <x:c r="J69" s="20"/>
      <x:c r="K69" s="20"/>
      <x:c r="L69" s="18"/>
      <x:c r="M69" s="20"/>
      <x:c r="N69" s="20"/>
      <x:c r="O69" s="18"/>
      <x:c r="P69" s="18"/>
      <x:c r="Q69" s="32"/>
      <x:c r="R69" s="32"/>
      <x:c r="S69" s="29"/>
      <x:c r="T69" s="32"/>
      <x:c r="U69" s="31"/>
      <x:c r="V69" s="33"/>
      <x:c r="W69" s="32"/>
      <x:c r="X69" s="32"/>
      <x:c r="Y69" s="32"/>
      <x:c r="Z69" s="29"/>
    </x:row>
    <x:row r="70" ht="30" customHeight="1">
      <x:c r="A70" s="18"/>
      <x:c r="B70" s="18"/>
      <x:c r="C70" s="18"/>
      <x:c r="D70" s="20"/>
      <x:c r="E70" s="20"/>
      <x:c r="F70" s="36"/>
      <x:c r="G70" s="20"/>
      <x:c r="H70" s="20"/>
      <x:c r="I70" s="18"/>
      <x:c r="J70" s="20"/>
      <x:c r="K70" s="20"/>
      <x:c r="L70" s="18"/>
      <x:c r="M70" s="20"/>
      <x:c r="N70" s="20"/>
      <x:c r="O70" s="18"/>
      <x:c r="P70" s="18"/>
      <x:c r="Q70" s="32"/>
      <x:c r="R70" s="32"/>
      <x:c r="S70" s="29"/>
      <x:c r="T70" s="32"/>
      <x:c r="U70" s="31"/>
      <x:c r="V70" s="33"/>
      <x:c r="W70" s="32"/>
      <x:c r="X70" s="32"/>
      <x:c r="Y70" s="32"/>
      <x:c r="Z70" s="29"/>
    </x:row>
    <x:row r="71" ht="30" customHeight="1">
      <x:c r="A71" s="18"/>
      <x:c r="B71" s="18"/>
      <x:c r="C71" s="18"/>
      <x:c r="D71" s="20"/>
      <x:c r="E71" s="20"/>
      <x:c r="F71" s="36"/>
      <x:c r="G71" s="20"/>
      <x:c r="H71" s="20"/>
      <x:c r="I71" s="18"/>
      <x:c r="J71" s="20"/>
      <x:c r="K71" s="20"/>
      <x:c r="L71" s="18"/>
      <x:c r="M71" s="20"/>
      <x:c r="N71" s="20"/>
      <x:c r="O71" s="18"/>
      <x:c r="P71" s="18"/>
      <x:c r="Q71" s="32"/>
      <x:c r="R71" s="32"/>
      <x:c r="S71" s="29"/>
      <x:c r="T71" s="32"/>
      <x:c r="U71" s="31"/>
      <x:c r="V71" s="33"/>
      <x:c r="W71" s="32"/>
      <x:c r="X71" s="32"/>
      <x:c r="Y71" s="32"/>
      <x:c r="Z71" s="29"/>
    </x:row>
    <x:row r="72" ht="30" customHeight="1">
      <x:c r="A72" s="18"/>
      <x:c r="B72" s="18"/>
      <x:c r="C72" s="18"/>
      <x:c r="D72" s="20"/>
      <x:c r="E72" s="20"/>
      <x:c r="F72" s="36"/>
      <x:c r="G72" s="20"/>
      <x:c r="H72" s="20"/>
      <x:c r="I72" s="18"/>
      <x:c r="J72" s="20"/>
      <x:c r="K72" s="20"/>
      <x:c r="L72" s="18"/>
      <x:c r="M72" s="20"/>
      <x:c r="N72" s="20"/>
      <x:c r="O72" s="18"/>
      <x:c r="P72" s="18"/>
      <x:c r="Q72" s="32"/>
      <x:c r="R72" s="32"/>
      <x:c r="S72" s="29"/>
      <x:c r="T72" s="32"/>
      <x:c r="U72" s="31"/>
      <x:c r="V72" s="33"/>
      <x:c r="W72" s="32"/>
      <x:c r="X72" s="32"/>
      <x:c r="Y72" s="32"/>
      <x:c r="Z72" s="29"/>
    </x:row>
    <x:row r="73" ht="30" customHeight="1">
      <x:c r="A73" s="18"/>
      <x:c r="B73" s="18"/>
      <x:c r="C73" s="18"/>
      <x:c r="D73" s="20"/>
      <x:c r="E73" s="20"/>
      <x:c r="F73" s="36"/>
      <x:c r="G73" s="20"/>
      <x:c r="H73" s="20"/>
      <x:c r="I73" s="18"/>
      <x:c r="J73" s="20"/>
      <x:c r="K73" s="20"/>
      <x:c r="L73" s="18"/>
      <x:c r="M73" s="20"/>
      <x:c r="N73" s="20"/>
      <x:c r="O73" s="18"/>
      <x:c r="P73" s="18"/>
      <x:c r="Q73" s="32"/>
      <x:c r="R73" s="32"/>
      <x:c r="S73" s="29"/>
      <x:c r="T73" s="32"/>
      <x:c r="U73" s="31"/>
      <x:c r="V73" s="33"/>
      <x:c r="W73" s="32"/>
      <x:c r="X73" s="32"/>
      <x:c r="Y73" s="32"/>
      <x:c r="Z73" s="29"/>
    </x:row>
    <x:row r="74" ht="30" customHeight="1">
      <x:c r="A74" s="18"/>
      <x:c r="B74" s="18"/>
      <x:c r="C74" s="18"/>
      <x:c r="D74" s="20"/>
      <x:c r="E74" s="20"/>
      <x:c r="F74" s="36"/>
      <x:c r="G74" s="20"/>
      <x:c r="H74" s="20"/>
      <x:c r="I74" s="18"/>
      <x:c r="J74" s="20"/>
      <x:c r="K74" s="20"/>
      <x:c r="L74" s="18"/>
      <x:c r="M74" s="20"/>
      <x:c r="N74" s="20"/>
      <x:c r="O74" s="18"/>
      <x:c r="P74" s="18"/>
      <x:c r="Q74" s="32"/>
      <x:c r="R74" s="32"/>
      <x:c r="S74" s="29"/>
      <x:c r="T74" s="32"/>
      <x:c r="U74" s="31"/>
      <x:c r="V74" s="33"/>
      <x:c r="W74" s="32"/>
      <x:c r="X74" s="32"/>
      <x:c r="Y74" s="32"/>
      <x:c r="Z74" s="29"/>
    </x:row>
    <x:row r="75" ht="30" customHeight="1">
      <x:c r="A75" s="18"/>
      <x:c r="B75" s="18"/>
      <x:c r="C75" s="18"/>
      <x:c r="D75" s="20"/>
      <x:c r="E75" s="20"/>
      <x:c r="F75" s="36"/>
      <x:c r="G75" s="20"/>
      <x:c r="H75" s="20"/>
      <x:c r="I75" s="18"/>
      <x:c r="J75" s="20"/>
      <x:c r="K75" s="20"/>
      <x:c r="L75" s="18"/>
      <x:c r="M75" s="20"/>
      <x:c r="N75" s="20"/>
      <x:c r="O75" s="18"/>
      <x:c r="P75" s="18"/>
      <x:c r="Q75" s="32"/>
      <x:c r="R75" s="32"/>
      <x:c r="S75" s="29"/>
      <x:c r="T75" s="32"/>
      <x:c r="U75" s="31"/>
      <x:c r="V75" s="33"/>
      <x:c r="W75" s="32"/>
      <x:c r="X75" s="32"/>
      <x:c r="Y75" s="32"/>
      <x:c r="Z75" s="29"/>
    </x:row>
    <x:row r="76" ht="30" customHeight="1">
      <x:c r="A76" s="18"/>
      <x:c r="B76" s="18"/>
      <x:c r="C76" s="18"/>
      <x:c r="D76" s="20"/>
      <x:c r="E76" s="20"/>
      <x:c r="F76" s="36"/>
      <x:c r="G76" s="20"/>
      <x:c r="H76" s="20"/>
      <x:c r="I76" s="18"/>
      <x:c r="J76" s="20"/>
      <x:c r="K76" s="20"/>
      <x:c r="L76" s="18"/>
      <x:c r="M76" s="20"/>
      <x:c r="N76" s="20"/>
      <x:c r="O76" s="18"/>
      <x:c r="P76" s="18"/>
      <x:c r="Q76" s="32"/>
      <x:c r="R76" s="32"/>
      <x:c r="S76" s="29"/>
      <x:c r="T76" s="32"/>
      <x:c r="U76" s="31"/>
      <x:c r="V76" s="33"/>
      <x:c r="W76" s="32"/>
      <x:c r="X76" s="32"/>
      <x:c r="Y76" s="32"/>
      <x:c r="Z76" s="29"/>
    </x:row>
    <x:row r="77" ht="30" customHeight="1">
      <x:c r="A77" s="18"/>
      <x:c r="B77" s="18"/>
      <x:c r="C77" s="18"/>
      <x:c r="D77" s="20"/>
      <x:c r="E77" s="20"/>
      <x:c r="F77" s="36"/>
      <x:c r="G77" s="20"/>
      <x:c r="H77" s="20"/>
      <x:c r="I77" s="18"/>
      <x:c r="J77" s="20"/>
      <x:c r="K77" s="20"/>
      <x:c r="L77" s="18"/>
      <x:c r="M77" s="20"/>
      <x:c r="N77" s="20"/>
      <x:c r="O77" s="18"/>
      <x:c r="P77" s="18"/>
      <x:c r="Q77" s="32"/>
      <x:c r="R77" s="32"/>
      <x:c r="S77" s="29"/>
      <x:c r="T77" s="32"/>
      <x:c r="U77" s="31"/>
      <x:c r="V77" s="33"/>
      <x:c r="W77" s="32"/>
      <x:c r="X77" s="32"/>
      <x:c r="Y77" s="32"/>
      <x:c r="Z77" s="29"/>
    </x:row>
    <x:row r="78" ht="30" customHeight="1">
      <x:c r="A78" s="18"/>
      <x:c r="B78" s="18"/>
      <x:c r="C78" s="18"/>
      <x:c r="D78" s="20"/>
      <x:c r="E78" s="20"/>
      <x:c r="F78" s="36"/>
      <x:c r="G78" s="20"/>
      <x:c r="H78" s="20"/>
      <x:c r="I78" s="18"/>
      <x:c r="J78" s="20"/>
      <x:c r="K78" s="20"/>
      <x:c r="L78" s="18"/>
      <x:c r="M78" s="20"/>
      <x:c r="N78" s="20"/>
      <x:c r="O78" s="18"/>
      <x:c r="P78" s="18"/>
      <x:c r="Q78" s="32"/>
      <x:c r="R78" s="32"/>
      <x:c r="S78" s="29"/>
      <x:c r="T78" s="32"/>
      <x:c r="U78" s="31"/>
      <x:c r="V78" s="33"/>
      <x:c r="W78" s="32"/>
      <x:c r="X78" s="32"/>
      <x:c r="Y78" s="32"/>
      <x:c r="Z78" s="29"/>
    </x:row>
    <x:row r="79" ht="30" customHeight="1">
      <x:c r="A79" s="18"/>
      <x:c r="B79" s="18"/>
      <x:c r="C79" s="18"/>
      <x:c r="D79" s="20"/>
      <x:c r="E79" s="20"/>
      <x:c r="F79" s="36"/>
      <x:c r="G79" s="20"/>
      <x:c r="H79" s="20"/>
      <x:c r="I79" s="18"/>
      <x:c r="J79" s="20"/>
      <x:c r="K79" s="20"/>
      <x:c r="L79" s="18"/>
      <x:c r="M79" s="20"/>
      <x:c r="N79" s="20"/>
      <x:c r="O79" s="18"/>
      <x:c r="P79" s="18"/>
      <x:c r="Q79" s="32"/>
      <x:c r="R79" s="32"/>
      <x:c r="S79" s="29"/>
      <x:c r="T79" s="32"/>
      <x:c r="U79" s="31"/>
      <x:c r="V79" s="33"/>
      <x:c r="W79" s="32"/>
      <x:c r="X79" s="32"/>
      <x:c r="Y79" s="32"/>
      <x:c r="Z79" s="29"/>
    </x:row>
    <x:row r="80" ht="30" customHeight="1">
      <x:c r="A80" s="18"/>
      <x:c r="B80" s="18"/>
      <x:c r="C80" s="18"/>
      <x:c r="D80" s="20"/>
      <x:c r="E80" s="20"/>
      <x:c r="F80" s="36"/>
      <x:c r="G80" s="20"/>
      <x:c r="H80" s="20"/>
      <x:c r="I80" s="18"/>
      <x:c r="J80" s="20"/>
      <x:c r="K80" s="20"/>
      <x:c r="L80" s="18"/>
      <x:c r="M80" s="20"/>
      <x:c r="N80" s="20"/>
      <x:c r="O80" s="18"/>
      <x:c r="P80" s="18"/>
      <x:c r="Q80" s="32"/>
      <x:c r="R80" s="32"/>
      <x:c r="S80" s="29"/>
      <x:c r="T80" s="32"/>
      <x:c r="U80" s="31"/>
      <x:c r="V80" s="33"/>
      <x:c r="W80" s="32"/>
      <x:c r="X80" s="32"/>
      <x:c r="Y80" s="32"/>
      <x:c r="Z80" s="29"/>
    </x:row>
    <x:row r="81" ht="30" customHeight="1">
      <x:c r="A81" s="18"/>
      <x:c r="B81" s="18"/>
      <x:c r="C81" s="18"/>
      <x:c r="D81" s="20"/>
      <x:c r="E81" s="20"/>
      <x:c r="F81" s="36"/>
      <x:c r="G81" s="20"/>
      <x:c r="H81" s="20"/>
      <x:c r="I81" s="18"/>
      <x:c r="J81" s="20"/>
      <x:c r="K81" s="20"/>
      <x:c r="L81" s="18"/>
      <x:c r="M81" s="20"/>
      <x:c r="N81" s="20"/>
      <x:c r="O81" s="18"/>
      <x:c r="P81" s="18"/>
      <x:c r="Q81" s="32"/>
      <x:c r="R81" s="32"/>
      <x:c r="S81" s="29"/>
      <x:c r="T81" s="32"/>
      <x:c r="U81" s="31"/>
      <x:c r="V81" s="33"/>
      <x:c r="W81" s="32"/>
      <x:c r="X81" s="32"/>
      <x:c r="Y81" s="32"/>
      <x:c r="Z81" s="29"/>
    </x:row>
    <x:row r="82" ht="30" customHeight="1">
      <x:c r="A82" s="18"/>
      <x:c r="B82" s="18"/>
      <x:c r="C82" s="18"/>
      <x:c r="D82" s="20"/>
      <x:c r="E82" s="20"/>
      <x:c r="F82" s="36"/>
      <x:c r="G82" s="20"/>
      <x:c r="H82" s="20"/>
      <x:c r="I82" s="18"/>
      <x:c r="J82" s="20"/>
      <x:c r="K82" s="20"/>
      <x:c r="L82" s="18"/>
      <x:c r="M82" s="20"/>
      <x:c r="N82" s="20"/>
      <x:c r="O82" s="18"/>
      <x:c r="P82" s="18"/>
      <x:c r="Q82" s="32"/>
      <x:c r="R82" s="32"/>
      <x:c r="S82" s="29"/>
      <x:c r="T82" s="32"/>
      <x:c r="U82" s="31"/>
      <x:c r="V82" s="33"/>
      <x:c r="W82" s="32"/>
      <x:c r="X82" s="32"/>
      <x:c r="Y82" s="32"/>
      <x:c r="Z82" s="29"/>
    </x:row>
    <x:row r="83" ht="30" customHeight="1">
      <x:c r="A83" s="18"/>
      <x:c r="B83" s="18"/>
      <x:c r="C83" s="18"/>
      <x:c r="D83" s="20"/>
      <x:c r="E83" s="20"/>
      <x:c r="F83" s="36"/>
      <x:c r="G83" s="20"/>
      <x:c r="H83" s="20"/>
      <x:c r="I83" s="18"/>
      <x:c r="J83" s="20"/>
      <x:c r="K83" s="20"/>
      <x:c r="L83" s="18"/>
      <x:c r="M83" s="20"/>
      <x:c r="N83" s="20"/>
      <x:c r="O83" s="18"/>
      <x:c r="P83" s="18"/>
      <x:c r="Q83" s="32"/>
      <x:c r="R83" s="32"/>
      <x:c r="S83" s="29"/>
      <x:c r="T83" s="32"/>
      <x:c r="U83" s="31"/>
      <x:c r="V83" s="33"/>
      <x:c r="W83" s="32"/>
      <x:c r="X83" s="32"/>
      <x:c r="Y83" s="32"/>
      <x:c r="Z83" s="29"/>
    </x:row>
    <x:row r="84" ht="30" customHeight="1">
      <x:c r="A84" s="18"/>
      <x:c r="B84" s="18"/>
      <x:c r="C84" s="18"/>
      <x:c r="D84" s="20"/>
      <x:c r="E84" s="20"/>
      <x:c r="F84" s="36"/>
      <x:c r="G84" s="20"/>
      <x:c r="H84" s="20"/>
      <x:c r="I84" s="18"/>
      <x:c r="J84" s="20"/>
      <x:c r="K84" s="20"/>
      <x:c r="L84" s="18"/>
      <x:c r="M84" s="20"/>
      <x:c r="N84" s="20"/>
      <x:c r="O84" s="18"/>
      <x:c r="P84" s="18"/>
      <x:c r="Q84" s="32"/>
      <x:c r="R84" s="32"/>
      <x:c r="S84" s="29"/>
      <x:c r="T84" s="32"/>
      <x:c r="U84" s="31"/>
      <x:c r="V84" s="33"/>
      <x:c r="W84" s="32"/>
      <x:c r="X84" s="32"/>
      <x:c r="Y84" s="32"/>
      <x:c r="Z84" s="29"/>
    </x:row>
    <x:row r="85" ht="30" customHeight="1">
      <x:c r="A85" s="18"/>
      <x:c r="B85" s="18"/>
      <x:c r="C85" s="18"/>
      <x:c r="D85" s="20"/>
      <x:c r="E85" s="20"/>
      <x:c r="F85" s="36"/>
      <x:c r="G85" s="20"/>
      <x:c r="H85" s="20"/>
      <x:c r="I85" s="18"/>
      <x:c r="J85" s="20"/>
      <x:c r="K85" s="20"/>
      <x:c r="L85" s="18"/>
      <x:c r="M85" s="20"/>
      <x:c r="N85" s="20"/>
      <x:c r="O85" s="18"/>
      <x:c r="P85" s="18"/>
      <x:c r="Q85" s="32"/>
      <x:c r="R85" s="32"/>
      <x:c r="S85" s="29"/>
      <x:c r="T85" s="32"/>
      <x:c r="U85" s="31"/>
      <x:c r="V85" s="33"/>
      <x:c r="W85" s="32"/>
      <x:c r="X85" s="32"/>
      <x:c r="Y85" s="32"/>
      <x:c r="Z85" s="29"/>
    </x:row>
    <x:row r="86" ht="30" customHeight="1">
      <x:c r="A86" s="18"/>
      <x:c r="B86" s="18"/>
      <x:c r="C86" s="18"/>
      <x:c r="D86" s="20"/>
      <x:c r="E86" s="20"/>
      <x:c r="F86" s="36"/>
      <x:c r="G86" s="20"/>
      <x:c r="H86" s="20"/>
      <x:c r="I86" s="18"/>
      <x:c r="J86" s="20"/>
      <x:c r="K86" s="20"/>
      <x:c r="L86" s="18"/>
      <x:c r="M86" s="20"/>
      <x:c r="N86" s="20"/>
      <x:c r="O86" s="18"/>
      <x:c r="P86" s="18"/>
      <x:c r="Q86" s="32"/>
      <x:c r="R86" s="32"/>
      <x:c r="S86" s="29"/>
      <x:c r="T86" s="32"/>
      <x:c r="U86" s="31"/>
      <x:c r="V86" s="33"/>
      <x:c r="W86" s="32"/>
      <x:c r="X86" s="32"/>
      <x:c r="Y86" s="32"/>
      <x:c r="Z86" s="29"/>
    </x:row>
    <x:row r="87" ht="30" customHeight="1">
      <x:c r="A87" s="18"/>
      <x:c r="B87" s="18"/>
      <x:c r="C87" s="18"/>
      <x:c r="D87" s="20"/>
      <x:c r="E87" s="20"/>
      <x:c r="F87" s="36"/>
      <x:c r="G87" s="20"/>
      <x:c r="H87" s="20"/>
      <x:c r="I87" s="18"/>
      <x:c r="J87" s="20"/>
      <x:c r="K87" s="20"/>
      <x:c r="L87" s="18"/>
      <x:c r="M87" s="20"/>
      <x:c r="N87" s="20"/>
      <x:c r="O87" s="18"/>
      <x:c r="P87" s="18"/>
      <x:c r="Q87" s="32"/>
      <x:c r="R87" s="32"/>
      <x:c r="S87" s="29"/>
      <x:c r="T87" s="32"/>
      <x:c r="U87" s="31"/>
      <x:c r="V87" s="33"/>
      <x:c r="W87" s="32"/>
      <x:c r="X87" s="32"/>
      <x:c r="Y87" s="32"/>
      <x:c r="Z87" s="29"/>
    </x:row>
    <x:row r="88" ht="30" customHeight="1">
      <x:c r="A88" s="18"/>
      <x:c r="B88" s="18"/>
      <x:c r="C88" s="18"/>
      <x:c r="D88" s="20"/>
      <x:c r="E88" s="20"/>
      <x:c r="F88" s="36"/>
      <x:c r="G88" s="20"/>
      <x:c r="H88" s="20"/>
      <x:c r="I88" s="18"/>
      <x:c r="J88" s="20"/>
      <x:c r="K88" s="20"/>
      <x:c r="L88" s="18"/>
      <x:c r="M88" s="20"/>
      <x:c r="N88" s="20"/>
      <x:c r="O88" s="18"/>
      <x:c r="P88" s="18"/>
      <x:c r="Q88" s="32"/>
      <x:c r="R88" s="32"/>
      <x:c r="S88" s="29"/>
      <x:c r="T88" s="32"/>
      <x:c r="U88" s="31"/>
      <x:c r="V88" s="33"/>
      <x:c r="W88" s="32"/>
      <x:c r="X88" s="32"/>
      <x:c r="Y88" s="32"/>
      <x:c r="Z88" s="29"/>
    </x:row>
    <x:row r="89" ht="30" customHeight="1">
      <x:c r="A89" s="18"/>
      <x:c r="B89" s="18"/>
      <x:c r="C89" s="18"/>
      <x:c r="D89" s="20"/>
      <x:c r="E89" s="20"/>
      <x:c r="F89" s="36"/>
      <x:c r="G89" s="20"/>
      <x:c r="H89" s="20"/>
      <x:c r="I89" s="18"/>
      <x:c r="J89" s="20"/>
      <x:c r="K89" s="20"/>
      <x:c r="L89" s="18"/>
      <x:c r="M89" s="20"/>
      <x:c r="N89" s="20"/>
      <x:c r="O89" s="18"/>
      <x:c r="P89" s="18"/>
      <x:c r="Q89" s="32"/>
      <x:c r="R89" s="32"/>
      <x:c r="S89" s="29"/>
      <x:c r="T89" s="32"/>
      <x:c r="U89" s="31"/>
      <x:c r="V89" s="33"/>
      <x:c r="W89" s="32"/>
      <x:c r="X89" s="32"/>
      <x:c r="Y89" s="32"/>
      <x:c r="Z89" s="29"/>
    </x:row>
    <x:row r="90" ht="30" customHeight="1">
      <x:c r="A90" s="18"/>
      <x:c r="B90" s="18"/>
      <x:c r="C90" s="18"/>
      <x:c r="D90" s="20"/>
      <x:c r="E90" s="20"/>
      <x:c r="F90" s="36"/>
      <x:c r="G90" s="20"/>
      <x:c r="H90" s="20"/>
      <x:c r="I90" s="18"/>
      <x:c r="J90" s="20"/>
      <x:c r="K90" s="20"/>
      <x:c r="L90" s="18"/>
      <x:c r="M90" s="20"/>
      <x:c r="N90" s="20"/>
      <x:c r="O90" s="18"/>
      <x:c r="P90" s="18"/>
      <x:c r="Q90" s="32"/>
      <x:c r="R90" s="32"/>
      <x:c r="S90" s="29"/>
      <x:c r="T90" s="32"/>
      <x:c r="U90" s="31"/>
      <x:c r="V90" s="33"/>
      <x:c r="W90" s="32"/>
      <x:c r="X90" s="32"/>
      <x:c r="Y90" s="32"/>
      <x:c r="Z90" s="29"/>
    </x:row>
    <x:row r="91" ht="30" customHeight="1">
      <x:c r="A91" s="18"/>
      <x:c r="B91" s="18"/>
      <x:c r="C91" s="18"/>
      <x:c r="D91" s="20"/>
      <x:c r="E91" s="20"/>
      <x:c r="F91" s="36"/>
      <x:c r="G91" s="20"/>
      <x:c r="H91" s="20"/>
      <x:c r="I91" s="18"/>
      <x:c r="J91" s="20"/>
      <x:c r="K91" s="20"/>
      <x:c r="L91" s="18"/>
      <x:c r="M91" s="20"/>
      <x:c r="N91" s="20"/>
      <x:c r="O91" s="18"/>
      <x:c r="P91" s="18"/>
      <x:c r="Q91" s="32"/>
      <x:c r="R91" s="32"/>
      <x:c r="S91" s="29"/>
      <x:c r="T91" s="32"/>
      <x:c r="U91" s="31"/>
      <x:c r="V91" s="33"/>
      <x:c r="W91" s="32"/>
      <x:c r="X91" s="32"/>
      <x:c r="Y91" s="32"/>
      <x:c r="Z91" s="29"/>
    </x:row>
    <x:row r="92" ht="30" customHeight="1">
      <x:c r="A92" s="18"/>
      <x:c r="B92" s="18"/>
      <x:c r="C92" s="18"/>
      <x:c r="D92" s="20"/>
      <x:c r="E92" s="20"/>
      <x:c r="F92" s="36"/>
      <x:c r="G92" s="20"/>
      <x:c r="H92" s="20"/>
      <x:c r="I92" s="18"/>
      <x:c r="J92" s="20"/>
      <x:c r="K92" s="20"/>
      <x:c r="L92" s="18"/>
      <x:c r="M92" s="20"/>
      <x:c r="N92" s="20"/>
      <x:c r="O92" s="18"/>
      <x:c r="P92" s="18"/>
      <x:c r="Q92" s="32"/>
      <x:c r="R92" s="32"/>
      <x:c r="S92" s="29"/>
      <x:c r="T92" s="32"/>
      <x:c r="U92" s="31"/>
      <x:c r="V92" s="33"/>
      <x:c r="W92" s="32"/>
      <x:c r="X92" s="32"/>
      <x:c r="Y92" s="32"/>
      <x:c r="Z92" s="29"/>
    </x:row>
    <x:row r="93" ht="30" customHeight="1">
      <x:c r="A93" s="18"/>
      <x:c r="B93" s="18"/>
      <x:c r="C93" s="18"/>
      <x:c r="D93" s="20"/>
      <x:c r="E93" s="20"/>
      <x:c r="F93" s="36"/>
      <x:c r="G93" s="20"/>
      <x:c r="H93" s="20"/>
      <x:c r="I93" s="18"/>
      <x:c r="J93" s="20"/>
      <x:c r="K93" s="20"/>
      <x:c r="L93" s="18"/>
      <x:c r="M93" s="20"/>
      <x:c r="N93" s="20"/>
      <x:c r="O93" s="18"/>
      <x:c r="P93" s="18"/>
      <x:c r="Q93" s="32"/>
      <x:c r="R93" s="32"/>
      <x:c r="S93" s="29"/>
      <x:c r="T93" s="32"/>
      <x:c r="U93" s="31"/>
      <x:c r="V93" s="33"/>
      <x:c r="W93" s="32"/>
      <x:c r="X93" s="32"/>
      <x:c r="Y93" s="32"/>
      <x:c r="Z93" s="29"/>
    </x:row>
    <x:row r="94" ht="30" customHeight="1">
      <x:c r="A94" s="18"/>
      <x:c r="B94" s="18"/>
      <x:c r="C94" s="18"/>
      <x:c r="D94" s="20"/>
      <x:c r="E94" s="20"/>
      <x:c r="F94" s="36"/>
      <x:c r="G94" s="20"/>
      <x:c r="H94" s="20"/>
      <x:c r="I94" s="18"/>
      <x:c r="J94" s="20"/>
      <x:c r="K94" s="20"/>
      <x:c r="L94" s="18"/>
      <x:c r="M94" s="20"/>
      <x:c r="N94" s="20"/>
      <x:c r="O94" s="18"/>
      <x:c r="P94" s="18"/>
      <x:c r="Q94" s="32"/>
      <x:c r="R94" s="32"/>
      <x:c r="S94" s="29"/>
      <x:c r="T94" s="32"/>
      <x:c r="U94" s="31"/>
      <x:c r="V94" s="33"/>
      <x:c r="W94" s="32"/>
      <x:c r="X94" s="32"/>
      <x:c r="Y94" s="32"/>
      <x:c r="Z94" s="29"/>
    </x:row>
    <x:row r="95" ht="30" customHeight="1">
      <x:c r="A95" s="18"/>
      <x:c r="B95" s="18"/>
      <x:c r="C95" s="18"/>
      <x:c r="D95" s="20"/>
      <x:c r="E95" s="20"/>
      <x:c r="F95" s="36"/>
      <x:c r="G95" s="20"/>
      <x:c r="H95" s="20"/>
      <x:c r="I95" s="18"/>
      <x:c r="J95" s="20"/>
      <x:c r="K95" s="20"/>
      <x:c r="L95" s="18"/>
      <x:c r="M95" s="20"/>
      <x:c r="N95" s="20"/>
      <x:c r="O95" s="18"/>
      <x:c r="P95" s="18"/>
      <x:c r="Q95" s="32"/>
      <x:c r="R95" s="32"/>
      <x:c r="S95" s="29"/>
      <x:c r="T95" s="32"/>
      <x:c r="U95" s="31"/>
      <x:c r="V95" s="33"/>
      <x:c r="W95" s="32"/>
      <x:c r="X95" s="32"/>
      <x:c r="Y95" s="32"/>
      <x:c r="Z95" s="29"/>
    </x:row>
    <x:row r="96" ht="30" customHeight="1">
      <x:c r="A96" s="18"/>
      <x:c r="B96" s="18"/>
      <x:c r="C96" s="18"/>
      <x:c r="D96" s="20"/>
      <x:c r="E96" s="20"/>
      <x:c r="F96" s="36"/>
      <x:c r="G96" s="20"/>
      <x:c r="H96" s="20"/>
      <x:c r="I96" s="18"/>
      <x:c r="J96" s="20"/>
      <x:c r="K96" s="20"/>
      <x:c r="L96" s="18"/>
      <x:c r="M96" s="20"/>
      <x:c r="N96" s="20"/>
      <x:c r="O96" s="18"/>
      <x:c r="P96" s="18"/>
      <x:c r="Q96" s="32"/>
      <x:c r="R96" s="32"/>
      <x:c r="S96" s="29"/>
      <x:c r="T96" s="32"/>
      <x:c r="U96" s="31"/>
      <x:c r="V96" s="33"/>
      <x:c r="W96" s="32"/>
      <x:c r="X96" s="32"/>
      <x:c r="Y96" s="32"/>
      <x:c r="Z96" s="29"/>
    </x:row>
    <x:row r="97" ht="30" customHeight="1">
      <x:c r="A97" s="18"/>
      <x:c r="B97" s="18"/>
      <x:c r="C97" s="18"/>
      <x:c r="D97" s="20"/>
      <x:c r="E97" s="20"/>
      <x:c r="F97" s="36"/>
      <x:c r="G97" s="20"/>
      <x:c r="H97" s="20"/>
      <x:c r="I97" s="18"/>
      <x:c r="J97" s="20"/>
      <x:c r="K97" s="20"/>
      <x:c r="L97" s="18"/>
      <x:c r="M97" s="20"/>
      <x:c r="N97" s="20"/>
      <x:c r="O97" s="18"/>
      <x:c r="P97" s="18"/>
      <x:c r="Q97" s="32"/>
      <x:c r="R97" s="32"/>
      <x:c r="S97" s="29"/>
      <x:c r="T97" s="32"/>
      <x:c r="U97" s="31"/>
      <x:c r="V97" s="33"/>
      <x:c r="W97" s="32"/>
      <x:c r="X97" s="32"/>
      <x:c r="Y97" s="32"/>
      <x:c r="Z97" s="29"/>
    </x:row>
    <x:row r="98" ht="30" customHeight="1">
      <x:c r="A98" s="18"/>
      <x:c r="B98" s="18"/>
      <x:c r="C98" s="18"/>
      <x:c r="D98" s="20"/>
      <x:c r="E98" s="20"/>
      <x:c r="F98" s="36"/>
      <x:c r="G98" s="20"/>
      <x:c r="H98" s="20"/>
      <x:c r="I98" s="18"/>
      <x:c r="J98" s="20"/>
      <x:c r="K98" s="20"/>
      <x:c r="L98" s="18"/>
      <x:c r="M98" s="20"/>
      <x:c r="N98" s="20"/>
      <x:c r="O98" s="18"/>
      <x:c r="P98" s="18"/>
      <x:c r="Q98" s="32"/>
      <x:c r="R98" s="32"/>
      <x:c r="S98" s="29"/>
      <x:c r="T98" s="32"/>
      <x:c r="U98" s="31"/>
      <x:c r="V98" s="33"/>
      <x:c r="W98" s="32"/>
      <x:c r="X98" s="32"/>
      <x:c r="Y98" s="32"/>
      <x:c r="Z98" s="29"/>
    </x:row>
    <x:row r="99" ht="30" customHeight="1">
      <x:c r="A99" s="18"/>
      <x:c r="B99" s="18"/>
      <x:c r="C99" s="18"/>
      <x:c r="D99" s="20"/>
      <x:c r="E99" s="20"/>
      <x:c r="F99" s="36"/>
      <x:c r="G99" s="20"/>
      <x:c r="H99" s="20"/>
      <x:c r="I99" s="18"/>
      <x:c r="J99" s="20"/>
      <x:c r="K99" s="20"/>
      <x:c r="L99" s="18"/>
      <x:c r="M99" s="20"/>
      <x:c r="N99" s="20"/>
      <x:c r="O99" s="18"/>
      <x:c r="P99" s="18"/>
      <x:c r="Q99" s="32"/>
      <x:c r="R99" s="32"/>
      <x:c r="S99" s="29"/>
      <x:c r="T99" s="32"/>
      <x:c r="U99" s="31"/>
      <x:c r="V99" s="33"/>
      <x:c r="W99" s="32"/>
      <x:c r="X99" s="32"/>
      <x:c r="Y99" s="32"/>
      <x:c r="Z99" s="29"/>
    </x:row>
  </x:sheetData>
  <x:mergeCells>
    <x:mergeCell ref="A1:P1"/>
  </x:mergeCells>
  <x:conditionalFormatting sqref="F3:F99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dataValidations count="12">
    <x:dataValidation type="list" sqref="E3:E99">
      <x:formula1>"Ameaça,Oportunidade"</x:formula1>
    </x:dataValidation>
    <x:dataValidation type="decimal" sqref="F3:F99">
      <x:formula1>0</x:formula1>
      <x:formula2>1</x:formula2>
    </x:dataValidation>
    <x:dataValidation type="list" sqref="G3:G99">
      <x:formula1>"Local,Global"</x:formula1>
    </x:dataValidation>
    <x:dataValidation type="list" sqref="H3:H99">
      <x:formula1>"Duração,Custo,Ambos"</x:formula1>
    </x:dataValidation>
    <x:dataValidation type="list" sqref="K3:K99">
      <x:formula1>"Evitar,Mitigar,Transferir,Aceitar,Explorar,Melhorar,Compartilhar"</x:formula1>
    </x:dataValidation>
    <x:dataValidation type="list" sqref="M3:M99">
      <x:formula1>"Aberto,Em monitoramento,Encerrado"</x:formula1>
    </x:dataValidation>
    <x:dataValidation type="list" sqref="N3:N99">
      <x:formula1>"Fixa,Triangular,Beta-PERT,Uniforme,Normal,Exponencial,Lognormal,Gama"</x:formula1>
    </x:dataValidation>
    <x:dataValidation type="list" sqref="P3:P99">
      <x:formula1>"verdadeiro,falso"</x:formula1>
    </x:dataValidation>
    <x:dataValidation type="whole" allowBlank="1" showErrorMessage="1" errorTitle="Invalid input" error="Enter a value from the documented options or range." sqref="W3:X99 Q3:R99">
      <x:formula1>1</x:formula1>
      <x:formula2>5</x:formula2>
    </x:dataValidation>
    <x:dataValidation type="decimal" allowBlank="1" showErrorMessage="1" errorTitle="Invalid input" error="Enter a value from the documented options or range." sqref="V3:V99">
      <x:formula1>0</x:formula1>
      <x:formula2>1</x:formula2>
    </x:dataValidation>
    <x:dataValidation type="list" allowBlank="1" showErrorMessage="1" errorTitle="Invalid input" error="Enter a value from the documented options or range." sqref="Y3:Y99">
      <x:formula1>"Pendente,Aceito,Tratamento adicional necessário"</x:formula1>
    </x:dataValidation>
    <x:dataValidation type="list" allowBlank="1" showErrorMessage="1" errorTitle="Invalid input" error="Enter a value from the documented options or range." sqref="D3:D99">
      <x:formula1>RiskCategoryOptions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a6e28e4a8544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style="9" customWidth="1"/>
    <x:col min="2" max="2" width="13" style="9" customWidth="1"/>
    <x:col min="3" max="3" width="13.25" style="2" customWidth="1"/>
    <x:col min="4" max="4" width="15" style="2" customWidth="1"/>
    <x:col min="5" max="6" width="15" style="9" customWidth="1"/>
    <x:col min="7" max="7" width="17.5" style="9" customWidth="1"/>
    <x:col min="8" max="10" width="15" style="9" customWidth="1"/>
    <x:col min="11" max="16384" width="9" style="2" customWidth="0"/>
  </x:cols>
  <x:sheetData>
    <x:row r="1" s="1" customFormat="1" ht="27" customHeight="1">
      <x:c r="A1" s="53" t="inlineStr">
        <x:is>
          <x:t xml:space="preserve">4. Mapeamento risco–atividade</x:t>
        </x:is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2" ht="51" customHeight="1">
      <x:c r="A2" s="78" t="inlineStr">
        <x:is>
          <x:t xml:space="preserve">ID_do_Risco</x:t>
        </x:is>
      </x:c>
      <x:c r="B2" s="78" t="inlineStr">
        <x:is>
          <x:t xml:space="preserve">ID_da_Atividade</x:t>
        </x:is>
      </x:c>
      <x:c r="C2" s="78" t="inlineStr">
        <x:is>
          <x:t xml:space="preserve">Tipo_de_Impacto</x:t>
        </x:is>
      </x:c>
      <x:c r="D2" s="78" t="inlineStr">
        <x:is>
          <x:t xml:space="preserve">Distribuicao</x:t>
        </x:is>
      </x:c>
      <x:c r="E2" s="78" t="inlineStr">
        <x:is>
          <x:t xml:space="preserve">Impacto_Fixo</x:t>
        </x:is>
      </x:c>
      <x:c r="F2" s="78" t="inlineStr">
        <x:is>
          <x:t xml:space="preserve">Impacto_Minimo</x:t>
        </x:is>
      </x:c>
      <x:c r="G2" s="78" t="inlineStr">
        <x:is>
          <x:t xml:space="preserve">Impacto_Mais_Provavel</x:t>
        </x:is>
      </x:c>
      <x:c r="H2" s="78" t="inlineStr">
        <x:is>
          <x:t xml:space="preserve">Impacto_Maximo</x:t>
        </x:is>
      </x:c>
      <x:c r="I2" s="78" t="inlineStr">
        <x:is>
          <x:t xml:space="preserve">Impacto_Medio</x:t>
        </x:is>
      </x:c>
      <x:c r="J2" s="78" t="inlineStr">
        <x:is>
          <x:t xml:space="preserve">Desvio_Padrao_do_Impacto</x:t>
        </x:is>
      </x:c>
    </x:row>
    <x:row r="3" ht="21" customHeight="1">
      <x:c r="A3" s="19" t="s">
        <x:v>50</x:v>
      </x:c>
      <x:c r="B3" s="19" t="s">
        <x:v>10</x:v>
      </x:c>
      <x:c r="C3" s="131" t="inlineStr">
        <x:is>
          <x:t xml:space="preserve">Duração</x:t>
        </x:is>
      </x:c>
      <x:c r="D3" s="131" t="str">
        <x:v>Fixa</x:v>
      </x:c>
      <x:c r="E3" s="21" t="n">
        <x:v>1</x:v>
      </x:c>
      <x:c r="F3" s="21" t="n">
        <x:v>0.25</x:v>
      </x:c>
      <x:c r="G3" s="21" t="n">
        <x:v>0.75</x:v>
      </x:c>
      <x:c r="H3" s="21" t="n">
        <x:v>2</x:v>
      </x:c>
      <x:c r="I3" s="21" t="n">
        <x:v>1</x:v>
      </x:c>
      <x:c r="J3" s="21" t="n">
        <x:v>0.25</x:v>
      </x:c>
    </x:row>
    <x:row r="4" ht="21" customHeight="1">
      <x:c r="A4" s="19" t="s">
        <x:v>50</x:v>
      </x:c>
      <x:c r="B4" s="19" t="s">
        <x:v>12</x:v>
      </x:c>
      <x:c r="C4" s="131" t="inlineStr">
        <x:is>
          <x:t xml:space="preserve">Duração</x:t>
        </x:is>
      </x:c>
      <x:c r="D4" s="6" t="str">
        <x:v>Triangular</x:v>
      </x:c>
      <x:c r="E4" s="21" t="n">
        <x:v>1</x:v>
      </x:c>
      <x:c r="F4" s="21" t="n">
        <x:v>0.25</x:v>
      </x:c>
      <x:c r="G4" s="21" t="n">
        <x:v>0.75</x:v>
      </x:c>
      <x:c r="H4" s="21" t="n">
        <x:v>2</x:v>
      </x:c>
      <x:c r="I4" s="21" t="n">
        <x:v>1</x:v>
      </x:c>
      <x:c r="J4" s="21" t="n">
        <x:v>0.25</x:v>
      </x:c>
    </x:row>
    <x:row r="5" ht="21" customHeight="1">
      <x:c r="A5" s="19" t="s">
        <x:v>50</x:v>
      </x:c>
      <x:c r="B5" s="19" t="s">
        <x:v>13</x:v>
      </x:c>
      <x:c r="C5" s="131" t="inlineStr">
        <x:is>
          <x:t xml:space="preserve">Duração</x:t>
        </x:is>
      </x:c>
      <x:c r="D5" s="6" t="str">
        <x:v>Beta-PERT</x:v>
      </x:c>
      <x:c r="E5" s="21" t="n">
        <x:v>1</x:v>
      </x:c>
      <x:c r="F5" s="21" t="n">
        <x:v>0.25</x:v>
      </x:c>
      <x:c r="G5" s="21" t="n">
        <x:v>0.75</x:v>
      </x:c>
      <x:c r="H5" s="21" t="n">
        <x:v>2</x:v>
      </x:c>
      <x:c r="I5" s="21" t="n">
        <x:v>1</x:v>
      </x:c>
      <x:c r="J5" s="21" t="n">
        <x:v>0.25</x:v>
      </x:c>
    </x:row>
    <x:row r="6" ht="21" customHeight="1">
      <x:c r="A6" s="19" t="s">
        <x:v>50</x:v>
      </x:c>
      <x:c r="B6" s="19" t="s">
        <x:v>14</x:v>
      </x:c>
      <x:c r="C6" s="131" t="inlineStr">
        <x:is>
          <x:t xml:space="preserve">Duração</x:t>
        </x:is>
      </x:c>
      <x:c r="D6" s="6" t="str">
        <x:v>Uniforme</x:v>
      </x:c>
      <x:c r="E6" s="21" t="n">
        <x:v>1</x:v>
      </x:c>
      <x:c r="F6" s="21" t="n">
        <x:v>0.25</x:v>
      </x:c>
      <x:c r="G6" s="21" t="n">
        <x:v>0.75</x:v>
      </x:c>
      <x:c r="H6" s="21" t="n">
        <x:v>2</x:v>
      </x:c>
      <x:c r="I6" s="21" t="n">
        <x:v>1</x:v>
      </x:c>
      <x:c r="J6" s="21" t="n">
        <x:v>0.25</x:v>
      </x:c>
    </x:row>
    <x:row r="7" ht="21" customHeight="1">
      <x:c r="A7" s="19" t="s">
        <x:v>50</x:v>
      </x:c>
      <x:c r="B7" s="19" t="s">
        <x:v>24</x:v>
      </x:c>
      <x:c r="C7" s="131" t="inlineStr">
        <x:is>
          <x:t xml:space="preserve">Duração</x:t>
        </x:is>
      </x:c>
      <x:c r="D7" s="131" t="str">
        <x:v>Normal</x:v>
      </x:c>
      <x:c r="E7" s="21" t="n">
        <x:v>1</x:v>
      </x:c>
      <x:c r="F7" s="21" t="n">
        <x:v>0.25</x:v>
      </x:c>
      <x:c r="G7" s="21" t="n">
        <x:v>0.75</x:v>
      </x:c>
      <x:c r="H7" s="21" t="n">
        <x:v>2</x:v>
      </x:c>
      <x:c r="I7" s="21" t="n">
        <x:v>1</x:v>
      </x:c>
      <x:c r="J7" s="21" t="n">
        <x:v>0.25</x:v>
      </x:c>
    </x:row>
    <x:row r="8" ht="21" customHeight="1">
      <x:c r="A8" s="19" t="s">
        <x:v>50</x:v>
      </x:c>
      <x:c r="B8" s="19" t="s">
        <x:v>31</x:v>
      </x:c>
      <x:c r="C8" s="131" t="inlineStr">
        <x:is>
          <x:t xml:space="preserve">Duração</x:t>
        </x:is>
      </x:c>
      <x:c r="D8" s="6" t="str">
        <x:v>Exponencial</x:v>
      </x:c>
      <x:c r="E8" s="21" t="n">
        <x:v>1</x:v>
      </x:c>
      <x:c r="F8" s="21" t="n">
        <x:v>0.25</x:v>
      </x:c>
      <x:c r="G8" s="21" t="n">
        <x:v>0.75</x:v>
      </x:c>
      <x:c r="H8" s="21" t="n">
        <x:v>2</x:v>
      </x:c>
      <x:c r="I8" s="21" t="n">
        <x:v>1</x:v>
      </x:c>
      <x:c r="J8" s="21" t="n">
        <x:v>0.25</x:v>
      </x:c>
    </x:row>
    <x:row r="9" ht="21" customHeight="1">
      <x:c r="A9" s="19" t="s">
        <x:v>50</x:v>
      </x:c>
      <x:c r="B9" s="19" t="s">
        <x:v>39</x:v>
      </x:c>
      <x:c r="C9" s="131" t="inlineStr">
        <x:is>
          <x:t xml:space="preserve">Duração</x:t>
        </x:is>
      </x:c>
      <x:c r="D9" s="6" t="str">
        <x:v>Lognormal</x:v>
      </x:c>
      <x:c r="E9" s="21" t="n">
        <x:v>1</x:v>
      </x:c>
      <x:c r="F9" s="21" t="n">
        <x:v>0.25</x:v>
      </x:c>
      <x:c r="G9" s="21" t="n">
        <x:v>0.75</x:v>
      </x:c>
      <x:c r="H9" s="21" t="n">
        <x:v>2</x:v>
      </x:c>
      <x:c r="I9" s="21" t="n">
        <x:v>1</x:v>
      </x:c>
      <x:c r="J9" s="21" t="n">
        <x:v>0.25</x:v>
      </x:c>
    </x:row>
    <x:row r="10" ht="21" customHeight="1">
      <x:c r="A10" s="19" t="s">
        <x:v>52</x:v>
      </x:c>
      <x:c r="B10" s="19" t="s">
        <x:v>12</x:v>
      </x:c>
      <x:c r="C10" s="131" t="inlineStr">
        <x:is>
          <x:t xml:space="preserve">Duração</x:t>
        </x:is>
      </x:c>
      <x:c r="D10" s="6" t="str">
        <x:v>Gama</x:v>
      </x:c>
      <x:c r="E10" s="21" t="n">
        <x:v>1</x:v>
      </x:c>
      <x:c r="F10" s="21" t="n">
        <x:v>0.25</x:v>
      </x:c>
      <x:c r="G10" s="21" t="n">
        <x:v>0.75</x:v>
      </x:c>
      <x:c r="H10" s="21" t="n">
        <x:v>2</x:v>
      </x:c>
      <x:c r="I10" s="21" t="n">
        <x:v>1</x:v>
      </x:c>
      <x:c r="J10" s="21" t="n">
        <x:v>0.25</x:v>
      </x:c>
    </x:row>
    <x:row r="11" ht="21" customHeight="1">
      <x:c r="A11" s="19" t="s">
        <x:v>52</x:v>
      </x:c>
      <x:c r="B11" s="19" t="s">
        <x:v>13</x:v>
      </x:c>
      <x:c r="C11" s="131" t="inlineStr">
        <x:is>
          <x:t xml:space="preserve">Duração</x:t>
        </x:is>
      </x:c>
      <x:c r="D11" s="131" t="inlineStr">
        <x:is>
          <x:t xml:space="preserve">Fixa</x:t>
        </x:is>
      </x:c>
      <x:c r="E11" s="21">
        <x:v>2</x:v>
      </x:c>
      <x:c r="F11" s="21"/>
      <x:c r="G11" s="21"/>
      <x:c r="H11" s="21"/>
      <x:c r="I11" s="21"/>
      <x:c r="J11" s="21"/>
    </x:row>
    <x:row r="12" ht="21" customHeight="1">
      <x:c r="A12" s="19" t="s">
        <x:v>52</x:v>
      </x:c>
      <x:c r="B12" s="19" t="s">
        <x:v>15</x:v>
      </x:c>
      <x:c r="C12" s="131" t="inlineStr">
        <x:is>
          <x:t xml:space="preserve">Duração</x:t>
        </x:is>
      </x:c>
      <x:c r="D12" s="6" t="s">
        <x:v>16</x:v>
      </x:c>
      <x:c r="E12" s="21"/>
      <x:c r="F12" s="21">
        <x:v>1</x:v>
      </x:c>
      <x:c r="G12" s="21">
        <x:v>2</x:v>
      </x:c>
      <x:c r="H12" s="21">
        <x:v>5</x:v>
      </x:c>
      <x:c r="I12" s="21"/>
      <x:c r="J12" s="21"/>
    </x:row>
    <x:row r="13" ht="21" customHeight="1">
      <x:c r="A13" s="19" t="s">
        <x:v>52</x:v>
      </x:c>
      <x:c r="B13" s="19" t="s">
        <x:v>17</x:v>
      </x:c>
      <x:c r="C13" s="131" t="inlineStr">
        <x:is>
          <x:t xml:space="preserve">Duração</x:t>
        </x:is>
      </x:c>
      <x:c r="D13" s="6" t="s">
        <x:v>18</x:v>
      </x:c>
      <x:c r="E13" s="21"/>
      <x:c r="F13" s="21">
        <x:v>1</x:v>
      </x:c>
      <x:c r="G13" s="21">
        <x:v>3</x:v>
      </x:c>
      <x:c r="H13" s="21">
        <x:v>6</x:v>
      </x:c>
      <x:c r="I13" s="21"/>
      <x:c r="J13" s="21"/>
    </x:row>
    <x:row r="14" ht="21" customHeight="1">
      <x:c r="A14" s="19" t="s">
        <x:v>52</x:v>
      </x:c>
      <x:c r="B14" s="19" t="s">
        <x:v>28</x:v>
      </x:c>
      <x:c r="C14" s="131" t="inlineStr">
        <x:is>
          <x:t xml:space="preserve">Duração</x:t>
        </x:is>
      </x:c>
      <x:c r="D14" s="6" t="s">
        <x:v>21</x:v>
      </x:c>
      <x:c r="E14" s="21"/>
      <x:c r="F14" s="21"/>
      <x:c r="G14" s="21"/>
      <x:c r="H14" s="21"/>
      <x:c r="I14" s="21">
        <x:v>3</x:v>
      </x:c>
      <x:c r="J14" s="21">
        <x:v>1</x:v>
      </x:c>
    </x:row>
    <x:row r="15" ht="21" customHeight="1">
      <x:c r="A15" s="19" t="s">
        <x:v>52</x:v>
      </x:c>
      <x:c r="B15" s="19" t="s">
        <x:v>30</x:v>
      </x:c>
      <x:c r="C15" s="131" t="inlineStr">
        <x:is>
          <x:t xml:space="preserve">Duração</x:t>
        </x:is>
      </x:c>
      <x:c r="D15" s="131" t="inlineStr">
        <x:is>
          <x:t xml:space="preserve">Fixa</x:t>
        </x:is>
      </x:c>
      <x:c r="E15" s="21">
        <x:v>2</x:v>
      </x:c>
      <x:c r="F15" s="21"/>
      <x:c r="G15" s="21"/>
      <x:c r="H15" s="21"/>
      <x:c r="I15" s="21"/>
      <x:c r="J15" s="21"/>
    </x:row>
    <x:row r="16" ht="21" customHeight="1">
      <x:c r="A16" s="19" t="s">
        <x:v>52</x:v>
      </x:c>
      <x:c r="B16" s="19" t="s">
        <x:v>31</x:v>
      </x:c>
      <x:c r="C16" s="131" t="inlineStr">
        <x:is>
          <x:t xml:space="preserve">Duração</x:t>
        </x:is>
      </x:c>
      <x:c r="D16" s="6" t="s">
        <x:v>16</x:v>
      </x:c>
      <x:c r="E16" s="21"/>
      <x:c r="F16" s="21">
        <x:v>1</x:v>
      </x:c>
      <x:c r="G16" s="21">
        <x:v>2</x:v>
      </x:c>
      <x:c r="H16" s="21">
        <x:v>5</x:v>
      </x:c>
      <x:c r="I16" s="21"/>
      <x:c r="J16" s="21"/>
    </x:row>
    <x:row r="17" ht="21" customHeight="1">
      <x:c r="A17" s="19" t="s">
        <x:v>52</x:v>
      </x:c>
      <x:c r="B17" s="19" t="s">
        <x:v>34</x:v>
      </x:c>
      <x:c r="C17" s="131" t="inlineStr">
        <x:is>
          <x:t xml:space="preserve">Duração</x:t>
        </x:is>
      </x:c>
      <x:c r="D17" s="6" t="s">
        <x:v>18</x:v>
      </x:c>
      <x:c r="E17" s="21"/>
      <x:c r="F17" s="21">
        <x:v>1</x:v>
      </x:c>
      <x:c r="G17" s="21">
        <x:v>3</x:v>
      </x:c>
      <x:c r="H17" s="21">
        <x:v>6</x:v>
      </x:c>
      <x:c r="I17" s="21"/>
      <x:c r="J17" s="21"/>
    </x:row>
    <x:row r="18" ht="21" customHeight="1">
      <x:c r="A18" s="19" t="s">
        <x:v>53</x:v>
      </x:c>
      <x:c r="B18" s="19" t="s">
        <x:v>8</x:v>
      </x:c>
      <x:c r="C18" s="131" t="inlineStr">
        <x:is>
          <x:t xml:space="preserve">Duração</x:t>
        </x:is>
      </x:c>
      <x:c r="D18" s="6" t="s">
        <x:v>21</x:v>
      </x:c>
      <x:c r="E18" s="21"/>
      <x:c r="F18" s="21"/>
      <x:c r="G18" s="21"/>
      <x:c r="H18" s="21"/>
      <x:c r="I18" s="21">
        <x:v>3</x:v>
      </x:c>
      <x:c r="J18" s="21">
        <x:v>1</x:v>
      </x:c>
    </x:row>
    <x:row r="19" ht="21" customHeight="1">
      <x:c r="A19" s="19" t="s">
        <x:v>53</x:v>
      </x:c>
      <x:c r="B19" s="19" t="s">
        <x:v>9</x:v>
      </x:c>
      <x:c r="C19" s="131" t="inlineStr">
        <x:is>
          <x:t xml:space="preserve">Duração</x:t>
        </x:is>
      </x:c>
      <x:c r="D19" s="131" t="inlineStr">
        <x:is>
          <x:t xml:space="preserve">Fixa</x:t>
        </x:is>
      </x:c>
      <x:c r="E19" s="21">
        <x:v>2</x:v>
      </x:c>
      <x:c r="F19" s="21"/>
      <x:c r="G19" s="21"/>
      <x:c r="H19" s="21"/>
      <x:c r="I19" s="21"/>
      <x:c r="J19" s="21"/>
    </x:row>
    <x:row r="20" ht="21" customHeight="1">
      <x:c r="A20" s="19" t="s">
        <x:v>53</x:v>
      </x:c>
      <x:c r="B20" s="19" t="s">
        <x:v>10</x:v>
      </x:c>
      <x:c r="C20" s="131" t="inlineStr">
        <x:is>
          <x:t xml:space="preserve">Duração</x:t>
        </x:is>
      </x:c>
      <x:c r="D20" s="6" t="s">
        <x:v>16</x:v>
      </x:c>
      <x:c r="E20" s="21"/>
      <x:c r="F20" s="21">
        <x:v>1</x:v>
      </x:c>
      <x:c r="G20" s="21">
        <x:v>2</x:v>
      </x:c>
      <x:c r="H20" s="21">
        <x:v>5</x:v>
      </x:c>
      <x:c r="I20" s="21"/>
      <x:c r="J20" s="21"/>
    </x:row>
    <x:row r="21" ht="21" customHeight="1">
      <x:c r="A21" s="19" t="s">
        <x:v>53</x:v>
      </x:c>
      <x:c r="B21" s="19" t="s">
        <x:v>12</x:v>
      </x:c>
      <x:c r="C21" s="131" t="inlineStr">
        <x:is>
          <x:t xml:space="preserve">Duração</x:t>
        </x:is>
      </x:c>
      <x:c r="D21" s="6" t="s">
        <x:v>18</x:v>
      </x:c>
      <x:c r="E21" s="21"/>
      <x:c r="F21" s="21">
        <x:v>1</x:v>
      </x:c>
      <x:c r="G21" s="21">
        <x:v>3</x:v>
      </x:c>
      <x:c r="H21" s="21">
        <x:v>6</x:v>
      </x:c>
      <x:c r="I21" s="21"/>
      <x:c r="J21" s="21"/>
    </x:row>
    <x:row r="22" ht="21" customHeight="1">
      <x:c r="A22" s="19" t="s">
        <x:v>53</x:v>
      </x:c>
      <x:c r="B22" s="19" t="s">
        <x:v>13</x:v>
      </x:c>
      <x:c r="C22" s="131" t="inlineStr">
        <x:is>
          <x:t xml:space="preserve">Duração</x:t>
        </x:is>
      </x:c>
      <x:c r="D22" s="6" t="s">
        <x:v>21</x:v>
      </x:c>
      <x:c r="E22" s="21"/>
      <x:c r="F22" s="21"/>
      <x:c r="G22" s="21"/>
      <x:c r="H22" s="21"/>
      <x:c r="I22" s="21">
        <x:v>3</x:v>
      </x:c>
      <x:c r="J22" s="21">
        <x:v>1</x:v>
      </x:c>
    </x:row>
    <x:row r="23" ht="21" customHeight="1">
      <x:c r="A23" s="19" t="s">
        <x:v>53</x:v>
      </x:c>
      <x:c r="B23" s="19" t="s">
        <x:v>14</x:v>
      </x:c>
      <x:c r="C23" s="131" t="inlineStr">
        <x:is>
          <x:t xml:space="preserve">Duração</x:t>
        </x:is>
      </x:c>
      <x:c r="D23" s="131" t="inlineStr">
        <x:is>
          <x:t xml:space="preserve">Fixa</x:t>
        </x:is>
      </x:c>
      <x:c r="E23" s="21">
        <x:v>2</x:v>
      </x:c>
      <x:c r="F23" s="21"/>
      <x:c r="G23" s="21"/>
      <x:c r="H23" s="21"/>
      <x:c r="I23" s="21"/>
      <x:c r="J23" s="21"/>
    </x:row>
    <x:row r="24" ht="21" customHeight="1">
      <x:c r="A24" s="19" t="s">
        <x:v>53</x:v>
      </x:c>
      <x:c r="B24" s="19" t="s">
        <x:v>30</x:v>
      </x:c>
      <x:c r="C24" s="131" t="inlineStr">
        <x:is>
          <x:t xml:space="preserve">Duração</x:t>
        </x:is>
      </x:c>
      <x:c r="D24" s="6" t="s">
        <x:v>16</x:v>
      </x:c>
      <x:c r="E24" s="21"/>
      <x:c r="F24" s="21">
        <x:v>1</x:v>
      </x:c>
      <x:c r="G24" s="21">
        <x:v>2</x:v>
      </x:c>
      <x:c r="H24" s="21">
        <x:v>5</x:v>
      </x:c>
      <x:c r="I24" s="21"/>
      <x:c r="J24" s="21"/>
    </x:row>
    <x:row r="25" ht="21" customHeight="1">
      <x:c r="A25" s="19" t="s">
        <x:v>53</x:v>
      </x:c>
      <x:c r="B25" s="19" t="s">
        <x:v>41</x:v>
      </x:c>
      <x:c r="C25" s="131" t="inlineStr">
        <x:is>
          <x:t xml:space="preserve">Duração</x:t>
        </x:is>
      </x:c>
      <x:c r="D25" s="6" t="s">
        <x:v>18</x:v>
      </x:c>
      <x:c r="E25" s="21"/>
      <x:c r="F25" s="21">
        <x:v>1</x:v>
      </x:c>
      <x:c r="G25" s="21">
        <x:v>3</x:v>
      </x:c>
      <x:c r="H25" s="21">
        <x:v>6</x:v>
      </x:c>
      <x:c r="I25" s="21"/>
      <x:c r="J25" s="21"/>
    </x:row>
    <x:row r="26" ht="21" customHeight="1">
      <x:c r="A26" s="19" t="s">
        <x:v>53</x:v>
      </x:c>
      <x:c r="B26" s="19" t="s">
        <x:v>42</x:v>
      </x:c>
      <x:c r="C26" s="131" t="inlineStr">
        <x:is>
          <x:t xml:space="preserve">Duração</x:t>
        </x:is>
      </x:c>
      <x:c r="D26" s="6" t="s">
        <x:v>21</x:v>
      </x:c>
      <x:c r="E26" s="21"/>
      <x:c r="F26" s="21"/>
      <x:c r="G26" s="21"/>
      <x:c r="H26" s="21"/>
      <x:c r="I26" s="21">
        <x:v>3</x:v>
      </x:c>
      <x:c r="J26" s="21">
        <x:v>1</x:v>
      </x:c>
    </x:row>
    <x:row r="27" ht="21" customHeight="1">
      <x:c r="A27" s="19" t="s">
        <x:v>54</x:v>
      </x:c>
      <x:c r="B27" s="19" t="s">
        <x:v>9</x:v>
      </x:c>
      <x:c r="C27" s="131" t="inlineStr">
        <x:is>
          <x:t xml:space="preserve">Duração</x:t>
        </x:is>
      </x:c>
      <x:c r="D27" s="131" t="inlineStr">
        <x:is>
          <x:t xml:space="preserve">Fixa</x:t>
        </x:is>
      </x:c>
      <x:c r="E27" s="21">
        <x:v>2</x:v>
      </x:c>
      <x:c r="F27" s="21"/>
      <x:c r="G27" s="21"/>
      <x:c r="H27" s="21"/>
      <x:c r="I27" s="21"/>
      <x:c r="J27" s="21"/>
    </x:row>
    <x:row r="28" ht="21" customHeight="1">
      <x:c r="A28" s="19" t="s">
        <x:v>54</x:v>
      </x:c>
      <x:c r="B28" s="19" t="s">
        <x:v>10</x:v>
      </x:c>
      <x:c r="C28" s="131" t="inlineStr">
        <x:is>
          <x:t xml:space="preserve">Duração</x:t>
        </x:is>
      </x:c>
      <x:c r="D28" s="6" t="s">
        <x:v>16</x:v>
      </x:c>
      <x:c r="E28" s="21"/>
      <x:c r="F28" s="21">
        <x:v>1</x:v>
      </x:c>
      <x:c r="G28" s="21">
        <x:v>2</x:v>
      </x:c>
      <x:c r="H28" s="21">
        <x:v>5</x:v>
      </x:c>
      <x:c r="I28" s="21"/>
      <x:c r="J28" s="21"/>
    </x:row>
    <x:row r="29" ht="21" customHeight="1">
      <x:c r="A29" s="19" t="s">
        <x:v>54</x:v>
      </x:c>
      <x:c r="B29" s="19" t="s">
        <x:v>11</x:v>
      </x:c>
      <x:c r="C29" s="131" t="inlineStr">
        <x:is>
          <x:t xml:space="preserve">Duração</x:t>
        </x:is>
      </x:c>
      <x:c r="D29" s="6" t="s">
        <x:v>18</x:v>
      </x:c>
      <x:c r="E29" s="21"/>
      <x:c r="F29" s="21">
        <x:v>1</x:v>
      </x:c>
      <x:c r="G29" s="21">
        <x:v>3</x:v>
      </x:c>
      <x:c r="H29" s="21">
        <x:v>6</x:v>
      </x:c>
      <x:c r="I29" s="21"/>
      <x:c r="J29" s="21"/>
    </x:row>
    <x:row r="30" ht="21" customHeight="1">
      <x:c r="A30" s="19" t="s">
        <x:v>54</x:v>
      </x:c>
      <x:c r="B30" s="19" t="s">
        <x:v>9</x:v>
      </x:c>
      <x:c r="C30" s="131" t="inlineStr">
        <x:is>
          <x:t xml:space="preserve">Custo</x:t>
        </x:is>
      </x:c>
      <x:c r="D30" s="6" t="s">
        <x:v>21</x:v>
      </x:c>
      <x:c r="E30" s="21"/>
      <x:c r="F30" s="21"/>
      <x:c r="G30" s="21"/>
      <x:c r="H30" s="21"/>
      <x:c r="I30" s="21">
        <x:v>3</x:v>
      </x:c>
      <x:c r="J30" s="21">
        <x:v>1</x:v>
      </x:c>
    </x:row>
    <x:row r="31" ht="21" customHeight="1">
      <x:c r="A31" s="19" t="s">
        <x:v>54</x:v>
      </x:c>
      <x:c r="B31" s="19" t="s">
        <x:v>10</x:v>
      </x:c>
      <x:c r="C31" s="131" t="inlineStr">
        <x:is>
          <x:t xml:space="preserve">Custo</x:t>
        </x:is>
      </x:c>
      <x:c r="D31" s="131" t="inlineStr">
        <x:is>
          <x:t xml:space="preserve">Fixa</x:t>
        </x:is>
      </x:c>
      <x:c r="E31" s="21">
        <x:v>2</x:v>
      </x:c>
      <x:c r="F31" s="21"/>
      <x:c r="G31" s="21"/>
      <x:c r="H31" s="21"/>
      <x:c r="I31" s="21"/>
      <x:c r="J31" s="21"/>
    </x:row>
    <x:row r="32" ht="21" customHeight="1">
      <x:c r="A32" s="19" t="s">
        <x:v>55</x:v>
      </x:c>
      <x:c r="B32" s="19" t="s">
        <x:v>15</x:v>
      </x:c>
      <x:c r="C32" s="131" t="inlineStr">
        <x:is>
          <x:t xml:space="preserve">Duração</x:t>
        </x:is>
      </x:c>
      <x:c r="D32" s="6" t="s">
        <x:v>16</x:v>
      </x:c>
      <x:c r="E32" s="21"/>
      <x:c r="F32" s="21">
        <x:v>1</x:v>
      </x:c>
      <x:c r="G32" s="21">
        <x:v>2</x:v>
      </x:c>
      <x:c r="H32" s="21">
        <x:v>5</x:v>
      </x:c>
      <x:c r="I32" s="21"/>
      <x:c r="J32" s="21"/>
    </x:row>
    <x:row r="33" ht="21" customHeight="1">
      <x:c r="A33" s="19" t="s">
        <x:v>55</x:v>
      </x:c>
      <x:c r="B33" s="19" t="s">
        <x:v>17</x:v>
      </x:c>
      <x:c r="C33" s="131" t="inlineStr">
        <x:is>
          <x:t xml:space="preserve">Duração</x:t>
        </x:is>
      </x:c>
      <x:c r="D33" s="6" t="s">
        <x:v>18</x:v>
      </x:c>
      <x:c r="E33" s="21"/>
      <x:c r="F33" s="21">
        <x:v>1</x:v>
      </x:c>
      <x:c r="G33" s="21">
        <x:v>3</x:v>
      </x:c>
      <x:c r="H33" s="21">
        <x:v>6</x:v>
      </x:c>
      <x:c r="I33" s="21"/>
      <x:c r="J33" s="21"/>
    </x:row>
    <x:row r="34" ht="21" customHeight="1">
      <x:c r="A34" s="19" t="s">
        <x:v>55</x:v>
      </x:c>
      <x:c r="B34" s="19" t="s">
        <x:v>19</x:v>
      </x:c>
      <x:c r="C34" s="131" t="inlineStr">
        <x:is>
          <x:t xml:space="preserve">Duração</x:t>
        </x:is>
      </x:c>
      <x:c r="D34" s="6" t="s">
        <x:v>21</x:v>
      </x:c>
      <x:c r="E34" s="21"/>
      <x:c r="F34" s="21"/>
      <x:c r="G34" s="21"/>
      <x:c r="H34" s="21"/>
      <x:c r="I34" s="21">
        <x:v>3</x:v>
      </x:c>
      <x:c r="J34" s="21">
        <x:v>1</x:v>
      </x:c>
    </x:row>
    <x:row r="35" ht="21" customHeight="1">
      <x:c r="A35" s="19" t="s">
        <x:v>55</x:v>
      </x:c>
      <x:c r="B35" s="19" t="s">
        <x:v>22</x:v>
      </x:c>
      <x:c r="C35" s="131" t="inlineStr">
        <x:is>
          <x:t xml:space="preserve">Duração</x:t>
        </x:is>
      </x:c>
      <x:c r="D35" s="131" t="inlineStr">
        <x:is>
          <x:t xml:space="preserve">Fixa</x:t>
        </x:is>
      </x:c>
      <x:c r="E35" s="21">
        <x:v>2</x:v>
      </x:c>
      <x:c r="F35" s="21"/>
      <x:c r="G35" s="21"/>
      <x:c r="H35" s="21"/>
      <x:c r="I35" s="21"/>
      <x:c r="J35" s="21"/>
    </x:row>
    <x:row r="36" ht="21" customHeight="1">
      <x:c r="A36" s="19" t="s">
        <x:v>55</x:v>
      </x:c>
      <x:c r="B36" s="19" t="s">
        <x:v>23</x:v>
      </x:c>
      <x:c r="C36" s="131" t="inlineStr">
        <x:is>
          <x:t xml:space="preserve">Duração</x:t>
        </x:is>
      </x:c>
      <x:c r="D36" s="6" t="s">
        <x:v>16</x:v>
      </x:c>
      <x:c r="E36" s="21"/>
      <x:c r="F36" s="21">
        <x:v>1</x:v>
      </x:c>
      <x:c r="G36" s="21">
        <x:v>2</x:v>
      </x:c>
      <x:c r="H36" s="21">
        <x:v>5</x:v>
      </x:c>
      <x:c r="I36" s="21"/>
      <x:c r="J36" s="21"/>
    </x:row>
    <x:row r="37" ht="21" customHeight="1">
      <x:c r="A37" s="19" t="s">
        <x:v>55</x:v>
      </x:c>
      <x:c r="B37" s="19" t="s">
        <x:v>28</x:v>
      </x:c>
      <x:c r="C37" s="131" t="inlineStr">
        <x:is>
          <x:t xml:space="preserve">Duração</x:t>
        </x:is>
      </x:c>
      <x:c r="D37" s="6" t="s">
        <x:v>18</x:v>
      </x:c>
      <x:c r="E37" s="21"/>
      <x:c r="F37" s="21">
        <x:v>1</x:v>
      </x:c>
      <x:c r="G37" s="21">
        <x:v>3</x:v>
      </x:c>
      <x:c r="H37" s="21">
        <x:v>6</x:v>
      </x:c>
      <x:c r="I37" s="21"/>
      <x:c r="J37" s="21"/>
    </x:row>
    <x:row r="38" ht="21" customHeight="1">
      <x:c r="A38" s="19" t="s">
        <x:v>55</x:v>
      </x:c>
      <x:c r="B38" s="19" t="s">
        <x:v>31</x:v>
      </x:c>
      <x:c r="C38" s="131" t="inlineStr">
        <x:is>
          <x:t xml:space="preserve">Duração</x:t>
        </x:is>
      </x:c>
      <x:c r="D38" s="6" t="s">
        <x:v>21</x:v>
      </x:c>
      <x:c r="E38" s="21"/>
      <x:c r="F38" s="21"/>
      <x:c r="G38" s="21"/>
      <x:c r="H38" s="21"/>
      <x:c r="I38" s="21">
        <x:v>3</x:v>
      </x:c>
      <x:c r="J38" s="21">
        <x:v>1</x:v>
      </x:c>
    </x:row>
    <x:row r="39" ht="21" customHeight="1">
      <x:c r="A39" s="19" t="s">
        <x:v>55</x:v>
      </x:c>
      <x:c r="B39" s="19" t="s">
        <x:v>33</x:v>
      </x:c>
      <x:c r="C39" s="131" t="inlineStr">
        <x:is>
          <x:t xml:space="preserve">Duração</x:t>
        </x:is>
      </x:c>
      <x:c r="D39" s="131" t="inlineStr">
        <x:is>
          <x:t xml:space="preserve">Fixa</x:t>
        </x:is>
      </x:c>
      <x:c r="E39" s="21">
        <x:v>2</x:v>
      </x:c>
      <x:c r="F39" s="21"/>
      <x:c r="G39" s="21"/>
      <x:c r="H39" s="21"/>
      <x:c r="I39" s="21"/>
      <x:c r="J39" s="21"/>
    </x:row>
    <x:row r="40" ht="21" customHeight="1">
      <x:c r="A40" s="19" t="s">
        <x:v>55</x:v>
      </x:c>
      <x:c r="B40" s="19" t="s">
        <x:v>34</x:v>
      </x:c>
      <x:c r="C40" s="131" t="inlineStr">
        <x:is>
          <x:t xml:space="preserve">Duração</x:t>
        </x:is>
      </x:c>
      <x:c r="D40" s="6" t="s">
        <x:v>16</x:v>
      </x:c>
      <x:c r="E40" s="21"/>
      <x:c r="F40" s="21">
        <x:v>1</x:v>
      </x:c>
      <x:c r="G40" s="21">
        <x:v>2</x:v>
      </x:c>
      <x:c r="H40" s="21">
        <x:v>5</x:v>
      </x:c>
      <x:c r="I40" s="21"/>
      <x:c r="J40" s="21"/>
    </x:row>
    <x:row r="41" ht="21" customHeight="1">
      <x:c r="A41" s="19" t="s">
        <x:v>55</x:v>
      </x:c>
      <x:c r="B41" s="19" t="s">
        <x:v>39</x:v>
      </x:c>
      <x:c r="C41" s="131" t="inlineStr">
        <x:is>
          <x:t xml:space="preserve">Duração</x:t>
        </x:is>
      </x:c>
      <x:c r="D41" s="6" t="s">
        <x:v>18</x:v>
      </x:c>
      <x:c r="E41" s="21"/>
      <x:c r="F41" s="21">
        <x:v>1</x:v>
      </x:c>
      <x:c r="G41" s="21">
        <x:v>3</x:v>
      </x:c>
      <x:c r="H41" s="21">
        <x:v>6</x:v>
      </x:c>
      <x:c r="I41" s="21"/>
      <x:c r="J41" s="21"/>
    </x:row>
    <x:row r="42" ht="21" customHeight="1">
      <x:c r="A42" s="19" t="s">
        <x:v>55</x:v>
      </x:c>
      <x:c r="B42" s="19" t="s">
        <x:v>19</x:v>
      </x:c>
      <x:c r="C42" s="131" t="inlineStr">
        <x:is>
          <x:t xml:space="preserve">Custo</x:t>
        </x:is>
      </x:c>
      <x:c r="D42" s="6" t="s">
        <x:v>21</x:v>
      </x:c>
      <x:c r="E42" s="21"/>
      <x:c r="F42" s="21"/>
      <x:c r="G42" s="21"/>
      <x:c r="H42" s="21"/>
      <x:c r="I42" s="21">
        <x:v>3</x:v>
      </x:c>
      <x:c r="J42" s="21">
        <x:v>1</x:v>
      </x:c>
    </x:row>
    <x:row r="43" ht="21" customHeight="1">
      <x:c r="A43" s="19" t="s">
        <x:v>55</x:v>
      </x:c>
      <x:c r="B43" s="19" t="s">
        <x:v>22</x:v>
      </x:c>
      <x:c r="C43" s="131" t="inlineStr">
        <x:is>
          <x:t xml:space="preserve">Custo</x:t>
        </x:is>
      </x:c>
      <x:c r="D43" s="131" t="inlineStr">
        <x:is>
          <x:t xml:space="preserve">Fixa</x:t>
        </x:is>
      </x:c>
      <x:c r="E43" s="21">
        <x:v>2</x:v>
      </x:c>
      <x:c r="F43" s="21"/>
      <x:c r="G43" s="21"/>
      <x:c r="H43" s="21"/>
      <x:c r="I43" s="21"/>
      <x:c r="J43" s="21"/>
    </x:row>
    <x:row r="44" ht="21" customHeight="1">
      <x:c r="A44" s="19" t="s">
        <x:v>55</x:v>
      </x:c>
      <x:c r="B44" s="19" t="s">
        <x:v>23</x:v>
      </x:c>
      <x:c r="C44" s="131" t="inlineStr">
        <x:is>
          <x:t xml:space="preserve">Custo</x:t>
        </x:is>
      </x:c>
      <x:c r="D44" s="6" t="s">
        <x:v>16</x:v>
      </x:c>
      <x:c r="E44" s="21"/>
      <x:c r="F44" s="21">
        <x:v>1</x:v>
      </x:c>
      <x:c r="G44" s="21">
        <x:v>2</x:v>
      </x:c>
      <x:c r="H44" s="21">
        <x:v>5</x:v>
      </x:c>
      <x:c r="I44" s="21"/>
      <x:c r="J44" s="21"/>
    </x:row>
    <x:row r="45" ht="21" customHeight="1">
      <x:c r="A45" s="19" t="s">
        <x:v>55</x:v>
      </x:c>
      <x:c r="B45" s="19" t="s">
        <x:v>31</x:v>
      </x:c>
      <x:c r="C45" s="131" t="inlineStr">
        <x:is>
          <x:t xml:space="preserve">Custo</x:t>
        </x:is>
      </x:c>
      <x:c r="D45" s="6" t="s">
        <x:v>18</x:v>
      </x:c>
      <x:c r="E45" s="21"/>
      <x:c r="F45" s="21">
        <x:v>1</x:v>
      </x:c>
      <x:c r="G45" s="21">
        <x:v>3</x:v>
      </x:c>
      <x:c r="H45" s="21">
        <x:v>6</x:v>
      </x:c>
      <x:c r="I45" s="21"/>
      <x:c r="J45" s="21"/>
    </x:row>
    <x:row r="46" ht="21" customHeight="1">
      <x:c r="A46" s="19" t="s">
        <x:v>55</x:v>
      </x:c>
      <x:c r="B46" s="19" t="s">
        <x:v>39</x:v>
      </x:c>
      <x:c r="C46" s="131" t="inlineStr">
        <x:is>
          <x:t xml:space="preserve">Custo</x:t>
        </x:is>
      </x:c>
      <x:c r="D46" s="6" t="s">
        <x:v>21</x:v>
      </x:c>
      <x:c r="E46" s="21"/>
      <x:c r="F46" s="21"/>
      <x:c r="G46" s="21"/>
      <x:c r="H46" s="21"/>
      <x:c r="I46" s="21">
        <x:v>3</x:v>
      </x:c>
      <x:c r="J46" s="21">
        <x:v>1</x:v>
      </x:c>
    </x:row>
    <x:row r="47" ht="21" customHeight="1">
      <x:c r="A47" s="19" t="s">
        <x:v>56</x:v>
      </x:c>
      <x:c r="B47" s="19" t="s">
        <x:v>10</x:v>
      </x:c>
      <x:c r="C47" s="131" t="inlineStr">
        <x:is>
          <x:t xml:space="preserve">Duração</x:t>
        </x:is>
      </x:c>
      <x:c r="D47" s="131" t="inlineStr">
        <x:is>
          <x:t xml:space="preserve">Fixa</x:t>
        </x:is>
      </x:c>
      <x:c r="E47" s="21">
        <x:v>2</x:v>
      </x:c>
      <x:c r="F47" s="21"/>
      <x:c r="G47" s="21"/>
      <x:c r="H47" s="21"/>
      <x:c r="I47" s="21"/>
      <x:c r="J47" s="21"/>
    </x:row>
    <x:row r="48" ht="21" customHeight="1">
      <x:c r="A48" s="19" t="s">
        <x:v>56</x:v>
      </x:c>
      <x:c r="B48" s="19" t="s">
        <x:v>26</x:v>
      </x:c>
      <x:c r="C48" s="131" t="inlineStr">
        <x:is>
          <x:t xml:space="preserve">Duração</x:t>
        </x:is>
      </x:c>
      <x:c r="D48" s="6" t="s">
        <x:v>16</x:v>
      </x:c>
      <x:c r="E48" s="21"/>
      <x:c r="F48" s="21">
        <x:v>1</x:v>
      </x:c>
      <x:c r="G48" s="21">
        <x:v>2</x:v>
      </x:c>
      <x:c r="H48" s="21">
        <x:v>5</x:v>
      </x:c>
      <x:c r="I48" s="21"/>
      <x:c r="J48" s="21"/>
    </x:row>
    <x:row r="49" ht="21" customHeight="1">
      <x:c r="A49" s="19" t="s">
        <x:v>56</x:v>
      </x:c>
      <x:c r="B49" s="19" t="s">
        <x:v>43</x:v>
      </x:c>
      <x:c r="C49" s="131" t="inlineStr">
        <x:is>
          <x:t xml:space="preserve">Duração</x:t>
        </x:is>
      </x:c>
      <x:c r="D49" s="6" t="s">
        <x:v>18</x:v>
      </x:c>
      <x:c r="E49" s="21"/>
      <x:c r="F49" s="21">
        <x:v>1</x:v>
      </x:c>
      <x:c r="G49" s="21">
        <x:v>3</x:v>
      </x:c>
      <x:c r="H49" s="21">
        <x:v>6</x:v>
      </x:c>
      <x:c r="I49" s="21"/>
      <x:c r="J49" s="21"/>
    </x:row>
    <x:row r="50" ht="21" customHeight="1">
      <x:c r="A50" s="19" t="s">
        <x:v>56</x:v>
      </x:c>
      <x:c r="B50" s="19" t="s">
        <x:v>47</x:v>
      </x:c>
      <x:c r="C50" s="131" t="inlineStr">
        <x:is>
          <x:t xml:space="preserve">Duração</x:t>
        </x:is>
      </x:c>
      <x:c r="D50" s="6" t="s">
        <x:v>21</x:v>
      </x:c>
      <x:c r="E50" s="21"/>
      <x:c r="F50" s="21"/>
      <x:c r="G50" s="21"/>
      <x:c r="H50" s="21"/>
      <x:c r="I50" s="21">
        <x:v>3</x:v>
      </x:c>
      <x:c r="J50" s="21">
        <x:v>1</x:v>
      </x:c>
    </x:row>
    <x:row r="51" ht="21" customHeight="1">
      <x:c r="A51" s="19" t="s">
        <x:v>57</x:v>
      </x:c>
      <x:c r="B51" s="19" t="s">
        <x:v>12</x:v>
      </x:c>
      <x:c r="C51" s="131" t="inlineStr">
        <x:is>
          <x:t xml:space="preserve">Duração</x:t>
        </x:is>
      </x:c>
      <x:c r="D51" s="131" t="inlineStr">
        <x:is>
          <x:t xml:space="preserve">Fixa</x:t>
        </x:is>
      </x:c>
      <x:c r="E51" s="21">
        <x:v>2</x:v>
      </x:c>
      <x:c r="F51" s="21"/>
      <x:c r="G51" s="21"/>
      <x:c r="H51" s="21"/>
      <x:c r="I51" s="21"/>
      <x:c r="J51" s="21"/>
    </x:row>
    <x:row r="52" ht="21" customHeight="1">
      <x:c r="A52" s="19" t="s">
        <x:v>57</x:v>
      </x:c>
      <x:c r="B52" s="19" t="s">
        <x:v>13</x:v>
      </x:c>
      <x:c r="C52" s="131" t="inlineStr">
        <x:is>
          <x:t xml:space="preserve">Duração</x:t>
        </x:is>
      </x:c>
      <x:c r="D52" s="6" t="s">
        <x:v>16</x:v>
      </x:c>
      <x:c r="E52" s="21"/>
      <x:c r="F52" s="21">
        <x:v>1</x:v>
      </x:c>
      <x:c r="G52" s="21">
        <x:v>2</x:v>
      </x:c>
      <x:c r="H52" s="21">
        <x:v>5</x:v>
      </x:c>
      <x:c r="I52" s="21"/>
      <x:c r="J52" s="21"/>
    </x:row>
    <x:row r="53" ht="21" customHeight="1">
      <x:c r="A53" s="19" t="s">
        <x:v>57</x:v>
      </x:c>
      <x:c r="B53" s="19" t="s">
        <x:v>19</x:v>
      </x:c>
      <x:c r="C53" s="131" t="inlineStr">
        <x:is>
          <x:t xml:space="preserve">Duração</x:t>
        </x:is>
      </x:c>
      <x:c r="D53" s="6" t="s">
        <x:v>18</x:v>
      </x:c>
      <x:c r="E53" s="21"/>
      <x:c r="F53" s="21">
        <x:v>1</x:v>
      </x:c>
      <x:c r="G53" s="21">
        <x:v>3</x:v>
      </x:c>
      <x:c r="H53" s="21">
        <x:v>6</x:v>
      </x:c>
      <x:c r="I53" s="21"/>
      <x:c r="J53" s="21"/>
    </x:row>
    <x:row r="54" ht="21" customHeight="1">
      <x:c r="A54" s="19" t="s">
        <x:v>57</x:v>
      </x:c>
      <x:c r="B54" s="19" t="s">
        <x:v>22</x:v>
      </x:c>
      <x:c r="C54" s="131" t="inlineStr">
        <x:is>
          <x:t xml:space="preserve">Duração</x:t>
        </x:is>
      </x:c>
      <x:c r="D54" s="6" t="s">
        <x:v>21</x:v>
      </x:c>
      <x:c r="E54" s="21"/>
      <x:c r="F54" s="21"/>
      <x:c r="G54" s="21"/>
      <x:c r="H54" s="21"/>
      <x:c r="I54" s="21">
        <x:v>3</x:v>
      </x:c>
      <x:c r="J54" s="21">
        <x:v>1</x:v>
      </x:c>
    </x:row>
    <x:row r="55" ht="21" customHeight="1">
      <x:c r="A55" s="19" t="s">
        <x:v>57</x:v>
      </x:c>
      <x:c r="B55" s="19" t="s">
        <x:v>23</x:v>
      </x:c>
      <x:c r="C55" s="131" t="inlineStr">
        <x:is>
          <x:t xml:space="preserve">Duração</x:t>
        </x:is>
      </x:c>
      <x:c r="D55" s="131" t="inlineStr">
        <x:is>
          <x:t xml:space="preserve">Fixa</x:t>
        </x:is>
      </x:c>
      <x:c r="E55" s="21">
        <x:v>2</x:v>
      </x:c>
      <x:c r="F55" s="21"/>
      <x:c r="G55" s="21"/>
      <x:c r="H55" s="21"/>
      <x:c r="I55" s="21"/>
      <x:c r="J55" s="21"/>
    </x:row>
    <x:row r="56" ht="21" customHeight="1">
      <x:c r="A56" s="19" t="s">
        <x:v>57</x:v>
      </x:c>
      <x:c r="B56" s="19" t="s">
        <x:v>28</x:v>
      </x:c>
      <x:c r="C56" s="131" t="inlineStr">
        <x:is>
          <x:t xml:space="preserve">Duração</x:t>
        </x:is>
      </x:c>
      <x:c r="D56" s="6" t="s">
        <x:v>16</x:v>
      </x:c>
      <x:c r="E56" s="21"/>
      <x:c r="F56" s="21">
        <x:v>1</x:v>
      </x:c>
      <x:c r="G56" s="21">
        <x:v>2</x:v>
      </x:c>
      <x:c r="H56" s="21">
        <x:v>5</x:v>
      </x:c>
      <x:c r="I56" s="21"/>
      <x:c r="J56" s="21"/>
    </x:row>
    <x:row r="57" ht="21" customHeight="1">
      <x:c r="A57" s="19" t="s">
        <x:v>57</x:v>
      </x:c>
      <x:c r="B57" s="19" t="s">
        <x:v>30</x:v>
      </x:c>
      <x:c r="C57" s="131" t="inlineStr">
        <x:is>
          <x:t xml:space="preserve">Duração</x:t>
        </x:is>
      </x:c>
      <x:c r="D57" s="6" t="s">
        <x:v>18</x:v>
      </x:c>
      <x:c r="E57" s="21"/>
      <x:c r="F57" s="21">
        <x:v>1</x:v>
      </x:c>
      <x:c r="G57" s="21">
        <x:v>3</x:v>
      </x:c>
      <x:c r="H57" s="21">
        <x:v>6</x:v>
      </x:c>
      <x:c r="I57" s="21"/>
      <x:c r="J57" s="21"/>
    </x:row>
    <x:row r="58" ht="21" customHeight="1">
      <x:c r="A58" s="19" t="s">
        <x:v>57</x:v>
      </x:c>
      <x:c r="B58" s="19" t="s">
        <x:v>31</x:v>
      </x:c>
      <x:c r="C58" s="131" t="inlineStr">
        <x:is>
          <x:t xml:space="preserve">Duração</x:t>
        </x:is>
      </x:c>
      <x:c r="D58" s="6" t="s">
        <x:v>21</x:v>
      </x:c>
      <x:c r="E58" s="21"/>
      <x:c r="F58" s="21"/>
      <x:c r="G58" s="21"/>
      <x:c r="H58" s="21"/>
      <x:c r="I58" s="21">
        <x:v>3</x:v>
      </x:c>
      <x:c r="J58" s="21">
        <x:v>1</x:v>
      </x:c>
    </x:row>
    <x:row r="59" ht="21" customHeight="1">
      <x:c r="A59" s="19" t="s">
        <x:v>57</x:v>
      </x:c>
      <x:c r="B59" s="19" t="s">
        <x:v>33</x:v>
      </x:c>
      <x:c r="C59" s="131" t="inlineStr">
        <x:is>
          <x:t xml:space="preserve">Duração</x:t>
        </x:is>
      </x:c>
      <x:c r="D59" s="131" t="inlineStr">
        <x:is>
          <x:t xml:space="preserve">Fixa</x:t>
        </x:is>
      </x:c>
      <x:c r="E59" s="21">
        <x:v>2</x:v>
      </x:c>
      <x:c r="F59" s="21"/>
      <x:c r="G59" s="21"/>
      <x:c r="H59" s="21"/>
      <x:c r="I59" s="21"/>
      <x:c r="J59" s="21"/>
    </x:row>
    <x:row r="60" ht="21" customHeight="1">
      <x:c r="A60" s="19" t="s">
        <x:v>57</x:v>
      </x:c>
      <x:c r="B60" s="19" t="s">
        <x:v>34</x:v>
      </x:c>
      <x:c r="C60" s="131" t="inlineStr">
        <x:is>
          <x:t xml:space="preserve">Duração</x:t>
        </x:is>
      </x:c>
      <x:c r="D60" s="6" t="s">
        <x:v>16</x:v>
      </x:c>
      <x:c r="E60" s="21"/>
      <x:c r="F60" s="21">
        <x:v>1</x:v>
      </x:c>
      <x:c r="G60" s="21">
        <x:v>2</x:v>
      </x:c>
      <x:c r="H60" s="21">
        <x:v>5</x:v>
      </x:c>
      <x:c r="I60" s="21"/>
      <x:c r="J60" s="21"/>
    </x:row>
    <x:row r="61" ht="21" customHeight="1">
      <x:c r="A61" s="19" t="s">
        <x:v>57</x:v>
      </x:c>
      <x:c r="B61" s="19" t="s">
        <x:v>36</x:v>
      </x:c>
      <x:c r="C61" s="131" t="inlineStr">
        <x:is>
          <x:t xml:space="preserve">Duração</x:t>
        </x:is>
      </x:c>
      <x:c r="D61" s="6" t="s">
        <x:v>18</x:v>
      </x:c>
      <x:c r="E61" s="21"/>
      <x:c r="F61" s="21">
        <x:v>1</x:v>
      </x:c>
      <x:c r="G61" s="21">
        <x:v>3</x:v>
      </x:c>
      <x:c r="H61" s="21">
        <x:v>6</x:v>
      </x:c>
      <x:c r="I61" s="21"/>
      <x:c r="J61" s="21"/>
    </x:row>
    <x:row r="62" ht="21" customHeight="1">
      <x:c r="A62" s="19" t="s">
        <x:v>57</x:v>
      </x:c>
      <x:c r="B62" s="19" t="s">
        <x:v>38</x:v>
      </x:c>
      <x:c r="C62" s="131" t="inlineStr">
        <x:is>
          <x:t xml:space="preserve">Duração</x:t>
        </x:is>
      </x:c>
      <x:c r="D62" s="6" t="s">
        <x:v>21</x:v>
      </x:c>
      <x:c r="E62" s="21"/>
      <x:c r="F62" s="21"/>
      <x:c r="G62" s="21"/>
      <x:c r="H62" s="21"/>
      <x:c r="I62" s="21">
        <x:v>3</x:v>
      </x:c>
      <x:c r="J62" s="21">
        <x:v>1</x:v>
      </x:c>
    </x:row>
    <x:row r="63" ht="21" customHeight="1">
      <x:c r="A63" s="19" t="s">
        <x:v>57</x:v>
      </x:c>
      <x:c r="B63" s="19" t="s">
        <x:v>39</x:v>
      </x:c>
      <x:c r="C63" s="131" t="inlineStr">
        <x:is>
          <x:t xml:space="preserve">Duração</x:t>
        </x:is>
      </x:c>
      <x:c r="D63" s="131" t="inlineStr">
        <x:is>
          <x:t xml:space="preserve">Fixa</x:t>
        </x:is>
      </x:c>
      <x:c r="E63" s="21">
        <x:v>2</x:v>
      </x:c>
      <x:c r="F63" s="21"/>
      <x:c r="G63" s="21"/>
      <x:c r="H63" s="21"/>
      <x:c r="I63" s="21"/>
      <x:c r="J63" s="21"/>
    </x:row>
    <x:row r="64" ht="21" customHeight="1">
      <x:c r="A64" s="19" t="s">
        <x:v>57</x:v>
      </x:c>
      <x:c r="B64" s="19" t="s">
        <x:v>12</x:v>
      </x:c>
      <x:c r="C64" s="131" t="inlineStr">
        <x:is>
          <x:t xml:space="preserve">Custo</x:t>
        </x:is>
      </x:c>
      <x:c r="D64" s="6" t="s">
        <x:v>16</x:v>
      </x:c>
      <x:c r="E64" s="21"/>
      <x:c r="F64" s="21">
        <x:v>1</x:v>
      </x:c>
      <x:c r="G64" s="21">
        <x:v>2</x:v>
      </x:c>
      <x:c r="H64" s="21">
        <x:v>5</x:v>
      </x:c>
      <x:c r="I64" s="21"/>
      <x:c r="J64" s="21"/>
    </x:row>
    <x:row r="65" ht="21" customHeight="1">
      <x:c r="A65" s="19" t="s">
        <x:v>57</x:v>
      </x:c>
      <x:c r="B65" s="19" t="s">
        <x:v>13</x:v>
      </x:c>
      <x:c r="C65" s="131" t="inlineStr">
        <x:is>
          <x:t xml:space="preserve">Custo</x:t>
        </x:is>
      </x:c>
      <x:c r="D65" s="6" t="s">
        <x:v>18</x:v>
      </x:c>
      <x:c r="E65" s="21"/>
      <x:c r="F65" s="21">
        <x:v>1</x:v>
      </x:c>
      <x:c r="G65" s="21">
        <x:v>3</x:v>
      </x:c>
      <x:c r="H65" s="21">
        <x:v>6</x:v>
      </x:c>
      <x:c r="I65" s="21"/>
      <x:c r="J65" s="21"/>
    </x:row>
    <x:row r="66" ht="21" customHeight="1">
      <x:c r="A66" s="19" t="s">
        <x:v>57</x:v>
      </x:c>
      <x:c r="B66" s="19" t="s">
        <x:v>19</x:v>
      </x:c>
      <x:c r="C66" s="131" t="inlineStr">
        <x:is>
          <x:t xml:space="preserve">Custo</x:t>
        </x:is>
      </x:c>
      <x:c r="D66" s="6" t="s">
        <x:v>21</x:v>
      </x:c>
      <x:c r="E66" s="21"/>
      <x:c r="F66" s="21"/>
      <x:c r="G66" s="21"/>
      <x:c r="H66" s="21"/>
      <x:c r="I66" s="21">
        <x:v>3</x:v>
      </x:c>
      <x:c r="J66" s="21">
        <x:v>1</x:v>
      </x:c>
    </x:row>
    <x:row r="67" ht="21" customHeight="1">
      <x:c r="A67" s="19" t="s">
        <x:v>57</x:v>
      </x:c>
      <x:c r="B67" s="19" t="s">
        <x:v>22</x:v>
      </x:c>
      <x:c r="C67" s="131" t="inlineStr">
        <x:is>
          <x:t xml:space="preserve">Custo</x:t>
        </x:is>
      </x:c>
      <x:c r="D67" s="131" t="inlineStr">
        <x:is>
          <x:t xml:space="preserve">Fixa</x:t>
        </x:is>
      </x:c>
      <x:c r="E67" s="21">
        <x:v>2</x:v>
      </x:c>
      <x:c r="F67" s="21"/>
      <x:c r="G67" s="21"/>
      <x:c r="H67" s="21"/>
      <x:c r="I67" s="21"/>
      <x:c r="J67" s="21"/>
    </x:row>
    <x:row r="68" ht="21" customHeight="1">
      <x:c r="A68" s="19" t="s">
        <x:v>57</x:v>
      </x:c>
      <x:c r="B68" s="19" t="s">
        <x:v>23</x:v>
      </x:c>
      <x:c r="C68" s="131" t="inlineStr">
        <x:is>
          <x:t xml:space="preserve">Custo</x:t>
        </x:is>
      </x:c>
      <x:c r="D68" s="6" t="s">
        <x:v>16</x:v>
      </x:c>
      <x:c r="E68" s="21"/>
      <x:c r="F68" s="21">
        <x:v>1</x:v>
      </x:c>
      <x:c r="G68" s="21">
        <x:v>2</x:v>
      </x:c>
      <x:c r="H68" s="21">
        <x:v>5</x:v>
      </x:c>
      <x:c r="I68" s="21"/>
      <x:c r="J68" s="21"/>
    </x:row>
    <x:row r="69" ht="21" customHeight="1">
      <x:c r="A69" s="19" t="s">
        <x:v>58</x:v>
      </x:c>
      <x:c r="B69" s="19" t="s">
        <x:v>8</x:v>
      </x:c>
      <x:c r="C69" s="131" t="inlineStr">
        <x:is>
          <x:t xml:space="preserve">Duração</x:t>
        </x:is>
      </x:c>
      <x:c r="D69" s="6" t="s">
        <x:v>18</x:v>
      </x:c>
      <x:c r="E69" s="21"/>
      <x:c r="F69" s="21">
        <x:v>1</x:v>
      </x:c>
      <x:c r="G69" s="21">
        <x:v>3</x:v>
      </x:c>
      <x:c r="H69" s="21">
        <x:v>6</x:v>
      </x:c>
      <x:c r="I69" s="21"/>
      <x:c r="J69" s="21"/>
    </x:row>
    <x:row r="70" ht="21" customHeight="1">
      <x:c r="A70" s="19" t="s">
        <x:v>58</x:v>
      </x:c>
      <x:c r="B70" s="19" t="s">
        <x:v>9</x:v>
      </x:c>
      <x:c r="C70" s="131" t="inlineStr">
        <x:is>
          <x:t xml:space="preserve">Duração</x:t>
        </x:is>
      </x:c>
      <x:c r="D70" s="6" t="s">
        <x:v>21</x:v>
      </x:c>
      <x:c r="E70" s="21"/>
      <x:c r="F70" s="21"/>
      <x:c r="G70" s="21"/>
      <x:c r="H70" s="21"/>
      <x:c r="I70" s="21">
        <x:v>3</x:v>
      </x:c>
      <x:c r="J70" s="21">
        <x:v>1</x:v>
      </x:c>
    </x:row>
    <x:row r="71" ht="21" customHeight="1">
      <x:c r="A71" s="19" t="s">
        <x:v>58</x:v>
      </x:c>
      <x:c r="B71" s="19" t="s">
        <x:v>10</x:v>
      </x:c>
      <x:c r="C71" s="131" t="inlineStr">
        <x:is>
          <x:t xml:space="preserve">Duração</x:t>
        </x:is>
      </x:c>
      <x:c r="D71" s="131" t="inlineStr">
        <x:is>
          <x:t xml:space="preserve">Fixa</x:t>
        </x:is>
      </x:c>
      <x:c r="E71" s="21">
        <x:v>2</x:v>
      </x:c>
      <x:c r="F71" s="21"/>
      <x:c r="G71" s="21"/>
      <x:c r="H71" s="21"/>
      <x:c r="I71" s="21"/>
      <x:c r="J71" s="21"/>
    </x:row>
    <x:row r="72" ht="21" customHeight="1">
      <x:c r="A72" s="19" t="s">
        <x:v>58</x:v>
      </x:c>
      <x:c r="B72" s="19" t="s">
        <x:v>12</x:v>
      </x:c>
      <x:c r="C72" s="131" t="inlineStr">
        <x:is>
          <x:t xml:space="preserve">Duração</x:t>
        </x:is>
      </x:c>
      <x:c r="D72" s="6" t="s">
        <x:v>16</x:v>
      </x:c>
      <x:c r="E72" s="21"/>
      <x:c r="F72" s="21">
        <x:v>1</x:v>
      </x:c>
      <x:c r="G72" s="21">
        <x:v>2</x:v>
      </x:c>
      <x:c r="H72" s="21">
        <x:v>5</x:v>
      </x:c>
      <x:c r="I72" s="21"/>
      <x:c r="J72" s="21"/>
    </x:row>
    <x:row r="73" ht="21" customHeight="1">
      <x:c r="A73" s="19" t="s">
        <x:v>58</x:v>
      </x:c>
      <x:c r="B73" s="19" t="s">
        <x:v>13</x:v>
      </x:c>
      <x:c r="C73" s="131" t="inlineStr">
        <x:is>
          <x:t xml:space="preserve">Duração</x:t>
        </x:is>
      </x:c>
      <x:c r="D73" s="6" t="s">
        <x:v>18</x:v>
      </x:c>
      <x:c r="E73" s="21"/>
      <x:c r="F73" s="21">
        <x:v>1</x:v>
      </x:c>
      <x:c r="G73" s="21">
        <x:v>3</x:v>
      </x:c>
      <x:c r="H73" s="21">
        <x:v>6</x:v>
      </x:c>
      <x:c r="I73" s="21"/>
      <x:c r="J73" s="21"/>
    </x:row>
    <x:row r="74" ht="21" customHeight="1">
      <x:c r="A74" s="19" t="s">
        <x:v>58</x:v>
      </x:c>
      <x:c r="B74" s="19" t="s">
        <x:v>14</x:v>
      </x:c>
      <x:c r="C74" s="131" t="inlineStr">
        <x:is>
          <x:t xml:space="preserve">Duração</x:t>
        </x:is>
      </x:c>
      <x:c r="D74" s="6" t="s">
        <x:v>21</x:v>
      </x:c>
      <x:c r="E74" s="21"/>
      <x:c r="F74" s="21"/>
      <x:c r="G74" s="21"/>
      <x:c r="H74" s="21"/>
      <x:c r="I74" s="21">
        <x:v>3</x:v>
      </x:c>
      <x:c r="J74" s="21">
        <x:v>1</x:v>
      </x:c>
    </x:row>
    <x:row r="75" ht="21" customHeight="1">
      <x:c r="A75" s="19" t="s">
        <x:v>58</x:v>
      </x:c>
      <x:c r="B75" s="19" t="s">
        <x:v>41</x:v>
      </x:c>
      <x:c r="C75" s="131" t="inlineStr">
        <x:is>
          <x:t xml:space="preserve">Duração</x:t>
        </x:is>
      </x:c>
      <x:c r="D75" s="131" t="inlineStr">
        <x:is>
          <x:t xml:space="preserve">Fixa</x:t>
        </x:is>
      </x:c>
      <x:c r="E75" s="21">
        <x:v>2</x:v>
      </x:c>
      <x:c r="F75" s="21"/>
      <x:c r="G75" s="21"/>
      <x:c r="H75" s="21"/>
      <x:c r="I75" s="21"/>
      <x:c r="J75" s="21"/>
    </x:row>
    <x:row r="76" ht="21" customHeight="1">
      <x:c r="A76" s="19" t="s">
        <x:v>58</x:v>
      </x:c>
      <x:c r="B76" s="19" t="s">
        <x:v>8</x:v>
      </x:c>
      <x:c r="C76" s="131" t="inlineStr">
        <x:is>
          <x:t xml:space="preserve">Custo</x:t>
        </x:is>
      </x:c>
      <x:c r="D76" s="6" t="s">
        <x:v>16</x:v>
      </x:c>
      <x:c r="E76" s="21"/>
      <x:c r="F76" s="21">
        <x:v>1</x:v>
      </x:c>
      <x:c r="G76" s="21">
        <x:v>2</x:v>
      </x:c>
      <x:c r="H76" s="21">
        <x:v>5</x:v>
      </x:c>
      <x:c r="I76" s="21"/>
      <x:c r="J76" s="21"/>
    </x:row>
    <x:row r="77" ht="21" customHeight="1">
      <x:c r="A77" s="19" t="s">
        <x:v>58</x:v>
      </x:c>
      <x:c r="B77" s="19" t="s">
        <x:v>9</x:v>
      </x:c>
      <x:c r="C77" s="131" t="inlineStr">
        <x:is>
          <x:t xml:space="preserve">Custo</x:t>
        </x:is>
      </x:c>
      <x:c r="D77" s="6" t="s">
        <x:v>18</x:v>
      </x:c>
      <x:c r="E77" s="21"/>
      <x:c r="F77" s="21">
        <x:v>1</x:v>
      </x:c>
      <x:c r="G77" s="21">
        <x:v>3</x:v>
      </x:c>
      <x:c r="H77" s="21">
        <x:v>6</x:v>
      </x:c>
      <x:c r="I77" s="21"/>
      <x:c r="J77" s="21"/>
    </x:row>
    <x:row r="78" ht="21" customHeight="1">
      <x:c r="A78" s="19" t="s">
        <x:v>58</x:v>
      </x:c>
      <x:c r="B78" s="19" t="s">
        <x:v>12</x:v>
      </x:c>
      <x:c r="C78" s="131" t="inlineStr">
        <x:is>
          <x:t xml:space="preserve">Custo</x:t>
        </x:is>
      </x:c>
      <x:c r="D78" s="6" t="s">
        <x:v>21</x:v>
      </x:c>
      <x:c r="E78" s="21"/>
      <x:c r="F78" s="21"/>
      <x:c r="G78" s="21"/>
      <x:c r="H78" s="21"/>
      <x:c r="I78" s="21">
        <x:v>3</x:v>
      </x:c>
      <x:c r="J78" s="21">
        <x:v>1</x:v>
      </x:c>
    </x:row>
    <x:row r="79" ht="21" customHeight="1">
      <x:c r="A79" s="19" t="s">
        <x:v>58</x:v>
      </x:c>
      <x:c r="B79" s="19" t="s">
        <x:v>13</x:v>
      </x:c>
      <x:c r="C79" s="131" t="inlineStr">
        <x:is>
          <x:t xml:space="preserve">Custo</x:t>
        </x:is>
      </x:c>
      <x:c r="D79" s="131" t="inlineStr">
        <x:is>
          <x:t xml:space="preserve">Fixa</x:t>
        </x:is>
      </x:c>
      <x:c r="E79" s="21">
        <x:v>2</x:v>
      </x:c>
      <x:c r="F79" s="21"/>
      <x:c r="G79" s="21"/>
      <x:c r="H79" s="21"/>
      <x:c r="I79" s="21"/>
      <x:c r="J79" s="21"/>
    </x:row>
    <x:row r="80" ht="21" customHeight="1">
      <x:c r="A80" s="19" t="s">
        <x:v>59</x:v>
      </x:c>
      <x:c r="B80" s="19" t="s">
        <x:v>10</x:v>
      </x:c>
      <x:c r="C80" s="131" t="inlineStr">
        <x:is>
          <x:t xml:space="preserve">Custo</x:t>
        </x:is>
      </x:c>
      <x:c r="D80" s="6" t="s">
        <x:v>16</x:v>
      </x:c>
      <x:c r="E80" s="21"/>
      <x:c r="F80" s="21">
        <x:v>1</x:v>
      </x:c>
      <x:c r="G80" s="21">
        <x:v>2</x:v>
      </x:c>
      <x:c r="H80" s="21">
        <x:v>5</x:v>
      </x:c>
      <x:c r="I80" s="21"/>
      <x:c r="J80" s="21"/>
    </x:row>
    <x:row r="81" ht="21" customHeight="1">
      <x:c r="A81" s="19" t="s">
        <x:v>59</x:v>
      </x:c>
      <x:c r="B81" s="19" t="s">
        <x:v>12</x:v>
      </x:c>
      <x:c r="C81" s="131" t="inlineStr">
        <x:is>
          <x:t xml:space="preserve">Custo</x:t>
        </x:is>
      </x:c>
      <x:c r="D81" s="6" t="s">
        <x:v>18</x:v>
      </x:c>
      <x:c r="E81" s="21"/>
      <x:c r="F81" s="21">
        <x:v>1</x:v>
      </x:c>
      <x:c r="G81" s="21">
        <x:v>3</x:v>
      </x:c>
      <x:c r="H81" s="21">
        <x:v>6</x:v>
      </x:c>
      <x:c r="I81" s="21"/>
      <x:c r="J81" s="21"/>
    </x:row>
    <x:row r="82" ht="21" customHeight="1">
      <x:c r="A82" s="19" t="s">
        <x:v>59</x:v>
      </x:c>
      <x:c r="B82" s="19" t="s">
        <x:v>13</x:v>
      </x:c>
      <x:c r="C82" s="131" t="inlineStr">
        <x:is>
          <x:t xml:space="preserve">Custo</x:t>
        </x:is>
      </x:c>
      <x:c r="D82" s="6" t="s">
        <x:v>21</x:v>
      </x:c>
      <x:c r="E82" s="21"/>
      <x:c r="F82" s="21"/>
      <x:c r="G82" s="21"/>
      <x:c r="H82" s="21"/>
      <x:c r="I82" s="21">
        <x:v>3</x:v>
      </x:c>
      <x:c r="J82" s="21">
        <x:v>1</x:v>
      </x:c>
    </x:row>
    <x:row r="83" ht="21" customHeight="1">
      <x:c r="A83" s="19" t="s">
        <x:v>59</x:v>
      </x:c>
      <x:c r="B83" s="19" t="s">
        <x:v>14</x:v>
      </x:c>
      <x:c r="C83" s="131" t="inlineStr">
        <x:is>
          <x:t xml:space="preserve">Custo</x:t>
        </x:is>
      </x:c>
      <x:c r="D83" s="131" t="inlineStr">
        <x:is>
          <x:t xml:space="preserve">Fixa</x:t>
        </x:is>
      </x:c>
      <x:c r="E83" s="21">
        <x:v>2</x:v>
      </x:c>
      <x:c r="F83" s="21"/>
      <x:c r="G83" s="21"/>
      <x:c r="H83" s="21"/>
      <x:c r="I83" s="21"/>
      <x:c r="J83" s="21"/>
    </x:row>
    <x:row r="84" ht="21" customHeight="1">
      <x:c r="A84" s="19" t="s">
        <x:v>59</x:v>
      </x:c>
      <x:c r="B84" s="19" t="s">
        <x:v>15</x:v>
      </x:c>
      <x:c r="C84" s="131" t="inlineStr">
        <x:is>
          <x:t xml:space="preserve">Custo</x:t>
        </x:is>
      </x:c>
      <x:c r="D84" s="6" t="s">
        <x:v>16</x:v>
      </x:c>
      <x:c r="E84" s="21"/>
      <x:c r="F84" s="21">
        <x:v>1</x:v>
      </x:c>
      <x:c r="G84" s="21">
        <x:v>2</x:v>
      </x:c>
      <x:c r="H84" s="21">
        <x:v>5</x:v>
      </x:c>
      <x:c r="I84" s="21"/>
      <x:c r="J84" s="21"/>
    </x:row>
    <x:row r="85" ht="21" customHeight="1">
      <x:c r="A85" s="19" t="s">
        <x:v>59</x:v>
      </x:c>
      <x:c r="B85" s="19" t="s">
        <x:v>19</x:v>
      </x:c>
      <x:c r="C85" s="131" t="inlineStr">
        <x:is>
          <x:t xml:space="preserve">Custo</x:t>
        </x:is>
      </x:c>
      <x:c r="D85" s="6" t="s">
        <x:v>18</x:v>
      </x:c>
      <x:c r="E85" s="21"/>
      <x:c r="F85" s="21">
        <x:v>1</x:v>
      </x:c>
      <x:c r="G85" s="21">
        <x:v>3</x:v>
      </x:c>
      <x:c r="H85" s="21">
        <x:v>6</x:v>
      </x:c>
      <x:c r="I85" s="21"/>
      <x:c r="J85" s="21"/>
    </x:row>
    <x:row r="86" ht="21" customHeight="1">
      <x:c r="A86" s="19" t="s">
        <x:v>59</x:v>
      </x:c>
      <x:c r="B86" s="19" t="s">
        <x:v>22</x:v>
      </x:c>
      <x:c r="C86" s="131" t="inlineStr">
        <x:is>
          <x:t xml:space="preserve">Custo</x:t>
        </x:is>
      </x:c>
      <x:c r="D86" s="6" t="s">
        <x:v>21</x:v>
      </x:c>
      <x:c r="E86" s="21"/>
      <x:c r="F86" s="21"/>
      <x:c r="G86" s="21"/>
      <x:c r="H86" s="21"/>
      <x:c r="I86" s="21">
        <x:v>3</x:v>
      </x:c>
      <x:c r="J86" s="21">
        <x:v>1</x:v>
      </x:c>
    </x:row>
    <x:row r="87" ht="21" customHeight="1">
      <x:c r="A87" s="19" t="s">
        <x:v>59</x:v>
      </x:c>
      <x:c r="B87" s="19" t="s">
        <x:v>23</x:v>
      </x:c>
      <x:c r="C87" s="131" t="inlineStr">
        <x:is>
          <x:t xml:space="preserve">Custo</x:t>
        </x:is>
      </x:c>
      <x:c r="D87" s="131" t="inlineStr">
        <x:is>
          <x:t xml:space="preserve">Fixa</x:t>
        </x:is>
      </x:c>
      <x:c r="E87" s="21">
        <x:v>2</x:v>
      </x:c>
      <x:c r="F87" s="21"/>
      <x:c r="G87" s="21"/>
      <x:c r="H87" s="21"/>
      <x:c r="I87" s="21"/>
      <x:c r="J87" s="21"/>
    </x:row>
    <x:row r="88" ht="21" customHeight="1">
      <x:c r="A88" s="19" t="s">
        <x:v>59</x:v>
      </x:c>
      <x:c r="B88" s="19" t="s">
        <x:v>24</x:v>
      </x:c>
      <x:c r="C88" s="131" t="inlineStr">
        <x:is>
          <x:t xml:space="preserve">Custo</x:t>
        </x:is>
      </x:c>
      <x:c r="D88" s="6" t="s">
        <x:v>16</x:v>
      </x:c>
      <x:c r="E88" s="21"/>
      <x:c r="F88" s="21">
        <x:v>1</x:v>
      </x:c>
      <x:c r="G88" s="21">
        <x:v>2</x:v>
      </x:c>
      <x:c r="H88" s="21">
        <x:v>5</x:v>
      </x:c>
      <x:c r="I88" s="21"/>
      <x:c r="J88" s="21"/>
    </x:row>
    <x:row r="89" ht="21" customHeight="1">
      <x:c r="A89" s="19" t="s">
        <x:v>59</x:v>
      </x:c>
      <x:c r="B89" s="19" t="s">
        <x:v>31</x:v>
      </x:c>
      <x:c r="C89" s="131" t="inlineStr">
        <x:is>
          <x:t xml:space="preserve">Custo</x:t>
        </x:is>
      </x:c>
      <x:c r="D89" s="6" t="s">
        <x:v>18</x:v>
      </x:c>
      <x:c r="E89" s="21"/>
      <x:c r="F89" s="21">
        <x:v>1</x:v>
      </x:c>
      <x:c r="G89" s="21">
        <x:v>3</x:v>
      </x:c>
      <x:c r="H89" s="21">
        <x:v>6</x:v>
      </x:c>
      <x:c r="I89" s="21"/>
      <x:c r="J89" s="21"/>
    </x:row>
    <x:row r="90" ht="21" customHeight="1">
      <x:c r="A90" s="19" t="s">
        <x:v>59</x:v>
      </x:c>
      <x:c r="B90" s="19" t="s">
        <x:v>36</x:v>
      </x:c>
      <x:c r="C90" s="131" t="inlineStr">
        <x:is>
          <x:t xml:space="preserve">Custo</x:t>
        </x:is>
      </x:c>
      <x:c r="D90" s="6" t="s">
        <x:v>21</x:v>
      </x:c>
      <x:c r="E90" s="21"/>
      <x:c r="F90" s="21"/>
      <x:c r="G90" s="21"/>
      <x:c r="H90" s="21"/>
      <x:c r="I90" s="21">
        <x:v>3</x:v>
      </x:c>
      <x:c r="J90" s="21">
        <x:v>1</x:v>
      </x:c>
    </x:row>
    <x:row r="91" ht="21" customHeight="1">
      <x:c r="A91" s="19" t="s">
        <x:v>59</x:v>
      </x:c>
      <x:c r="B91" s="19" t="s">
        <x:v>38</x:v>
      </x:c>
      <x:c r="C91" s="131" t="inlineStr">
        <x:is>
          <x:t xml:space="preserve">Custo</x:t>
        </x:is>
      </x:c>
      <x:c r="D91" s="131" t="inlineStr">
        <x:is>
          <x:t xml:space="preserve">Fixa</x:t>
        </x:is>
      </x:c>
      <x:c r="E91" s="21">
        <x:v>2</x:v>
      </x:c>
      <x:c r="F91" s="21"/>
      <x:c r="G91" s="21"/>
      <x:c r="H91" s="21"/>
      <x:c r="I91" s="21"/>
      <x:c r="J91" s="21"/>
    </x:row>
    <x:row r="92" ht="21" customHeight="1">
      <x:c r="A92" s="19" t="s">
        <x:v>59</x:v>
      </x:c>
      <x:c r="B92" s="19" t="s">
        <x:v>39</x:v>
      </x:c>
      <x:c r="C92" s="131" t="inlineStr">
        <x:is>
          <x:t xml:space="preserve">Custo</x:t>
        </x:is>
      </x:c>
      <x:c r="D92" s="6" t="s">
        <x:v>16</x:v>
      </x:c>
      <x:c r="E92" s="21"/>
      <x:c r="F92" s="21">
        <x:v>1</x:v>
      </x:c>
      <x:c r="G92" s="21">
        <x:v>2</x:v>
      </x:c>
      <x:c r="H92" s="21">
        <x:v>5</x:v>
      </x:c>
      <x:c r="I92" s="21"/>
      <x:c r="J92" s="21"/>
    </x:row>
    <x:row r="93" ht="21" customHeight="1">
      <x:c r="A93" s="19" t="s">
        <x:v>61</x:v>
      </x:c>
      <x:c r="B93" s="19" t="s">
        <x:v>12</x:v>
      </x:c>
      <x:c r="C93" s="131" t="inlineStr">
        <x:is>
          <x:t xml:space="preserve">Duração</x:t>
        </x:is>
      </x:c>
      <x:c r="D93" s="6" t="s">
        <x:v>18</x:v>
      </x:c>
      <x:c r="E93" s="21"/>
      <x:c r="F93" s="21">
        <x:v>1</x:v>
      </x:c>
      <x:c r="G93" s="21">
        <x:v>3</x:v>
      </x:c>
      <x:c r="H93" s="21">
        <x:v>6</x:v>
      </x:c>
      <x:c r="I93" s="21"/>
      <x:c r="J93" s="21"/>
    </x:row>
    <x:row r="94" ht="21" customHeight="1">
      <x:c r="A94" s="19" t="s">
        <x:v>61</x:v>
      </x:c>
      <x:c r="B94" s="19" t="s">
        <x:v>13</x:v>
      </x:c>
      <x:c r="C94" s="131" t="inlineStr">
        <x:is>
          <x:t xml:space="preserve">Duração</x:t>
        </x:is>
      </x:c>
      <x:c r="D94" s="6" t="s">
        <x:v>21</x:v>
      </x:c>
      <x:c r="E94" s="21"/>
      <x:c r="F94" s="21"/>
      <x:c r="G94" s="21"/>
      <x:c r="H94" s="21"/>
      <x:c r="I94" s="21">
        <x:v>3</x:v>
      </x:c>
      <x:c r="J94" s="21">
        <x:v>1</x:v>
      </x:c>
    </x:row>
    <x:row r="95" ht="21" customHeight="1">
      <x:c r="A95" s="19" t="s">
        <x:v>61</x:v>
      </x:c>
      <x:c r="B95" s="19" t="s">
        <x:v>15</x:v>
      </x:c>
      <x:c r="C95" s="131" t="inlineStr">
        <x:is>
          <x:t xml:space="preserve">Duração</x:t>
        </x:is>
      </x:c>
      <x:c r="D95" s="131" t="inlineStr">
        <x:is>
          <x:t xml:space="preserve">Fixa</x:t>
        </x:is>
      </x:c>
      <x:c r="E95" s="21">
        <x:v>2</x:v>
      </x:c>
      <x:c r="F95" s="21"/>
      <x:c r="G95" s="21"/>
      <x:c r="H95" s="21"/>
      <x:c r="I95" s="21"/>
      <x:c r="J95" s="21"/>
    </x:row>
    <x:row r="96" ht="21" customHeight="1">
      <x:c r="A96" s="19" t="s">
        <x:v>61</x:v>
      </x:c>
      <x:c r="B96" s="19" t="s">
        <x:v>19</x:v>
      </x:c>
      <x:c r="C96" s="131" t="inlineStr">
        <x:is>
          <x:t xml:space="preserve">Duração</x:t>
        </x:is>
      </x:c>
      <x:c r="D96" s="6" t="s">
        <x:v>16</x:v>
      </x:c>
      <x:c r="E96" s="21"/>
      <x:c r="F96" s="21">
        <x:v>1</x:v>
      </x:c>
      <x:c r="G96" s="21">
        <x:v>2</x:v>
      </x:c>
      <x:c r="H96" s="21">
        <x:v>5</x:v>
      </x:c>
      <x:c r="I96" s="21"/>
      <x:c r="J96" s="21"/>
    </x:row>
    <x:row r="97" ht="21" customHeight="1">
      <x:c r="A97" s="19" t="s">
        <x:v>61</x:v>
      </x:c>
      <x:c r="B97" s="19" t="s">
        <x:v>22</x:v>
      </x:c>
      <x:c r="C97" s="131" t="inlineStr">
        <x:is>
          <x:t xml:space="preserve">Duração</x:t>
        </x:is>
      </x:c>
      <x:c r="D97" s="6" t="s">
        <x:v>18</x:v>
      </x:c>
      <x:c r="E97" s="21"/>
      <x:c r="F97" s="21">
        <x:v>1</x:v>
      </x:c>
      <x:c r="G97" s="21">
        <x:v>3</x:v>
      </x:c>
      <x:c r="H97" s="21">
        <x:v>6</x:v>
      </x:c>
      <x:c r="I97" s="21"/>
      <x:c r="J97" s="21"/>
    </x:row>
    <x:row r="98" ht="21" customHeight="1">
      <x:c r="A98" s="19" t="s">
        <x:v>61</x:v>
      </x:c>
      <x:c r="B98" s="19" t="s">
        <x:v>23</x:v>
      </x:c>
      <x:c r="C98" s="131" t="inlineStr">
        <x:is>
          <x:t xml:space="preserve">Duração</x:t>
        </x:is>
      </x:c>
      <x:c r="D98" s="6" t="s">
        <x:v>21</x:v>
      </x:c>
      <x:c r="E98" s="21"/>
      <x:c r="F98" s="21"/>
      <x:c r="G98" s="21"/>
      <x:c r="H98" s="21"/>
      <x:c r="I98" s="21">
        <x:v>3</x:v>
      </x:c>
      <x:c r="J98" s="21">
        <x:v>1</x:v>
      </x:c>
    </x:row>
    <x:row r="99" ht="21" customHeight="1">
      <x:c r="A99" s="19" t="s">
        <x:v>61</x:v>
      </x:c>
      <x:c r="B99" s="19" t="s">
        <x:v>28</x:v>
      </x:c>
      <x:c r="C99" s="131" t="inlineStr">
        <x:is>
          <x:t xml:space="preserve">Duração</x:t>
        </x:is>
      </x:c>
      <x:c r="D99" s="131" t="inlineStr">
        <x:is>
          <x:t xml:space="preserve">Fixa</x:t>
        </x:is>
      </x:c>
      <x:c r="E99" s="21">
        <x:v>2</x:v>
      </x:c>
      <x:c r="F99" s="21"/>
      <x:c r="G99" s="21"/>
      <x:c r="H99" s="21"/>
      <x:c r="I99" s="21"/>
      <x:c r="J99" s="21"/>
    </x:row>
    <x:row r="100" ht="21" customHeight="1">
      <x:c r="A100" s="13" t="s">
        <x:v>61</x:v>
      </x:c>
      <x:c r="B100" s="13" t="s">
        <x:v>30</x:v>
      </x:c>
      <x:c r="C100" s="129" t="inlineStr">
        <x:is>
          <x:t xml:space="preserve">Duração</x:t>
        </x:is>
      </x:c>
      <x:c r="D100" s="5" t="s">
        <x:v>16</x:v>
      </x:c>
      <x:c r="E100" s="13"/>
      <x:c r="F100" s="13">
        <x:v>1</x:v>
      </x:c>
      <x:c r="G100" s="13">
        <x:v>2</x:v>
      </x:c>
      <x:c r="H100" s="13">
        <x:v>5</x:v>
      </x:c>
      <x:c r="I100" s="13"/>
      <x:c r="J100" s="13"/>
    </x:row>
    <x:row r="101" ht="21" customHeight="1">
      <x:c r="A101" s="13" t="s">
        <x:v>61</x:v>
      </x:c>
      <x:c r="B101" s="13" t="s">
        <x:v>31</x:v>
      </x:c>
      <x:c r="C101" s="129" t="inlineStr">
        <x:is>
          <x:t xml:space="preserve">Duração</x:t>
        </x:is>
      </x:c>
      <x:c r="D101" s="5" t="s">
        <x:v>18</x:v>
      </x:c>
      <x:c r="E101" s="13"/>
      <x:c r="F101" s="13">
        <x:v>1</x:v>
      </x:c>
      <x:c r="G101" s="13">
        <x:v>3</x:v>
      </x:c>
      <x:c r="H101" s="13">
        <x:v>6</x:v>
      </x:c>
      <x:c r="I101" s="13"/>
      <x:c r="J101" s="13"/>
    </x:row>
    <x:row r="102" ht="21" customHeight="1">
      <x:c r="A102" s="13" t="s">
        <x:v>61</x:v>
      </x:c>
      <x:c r="B102" s="13" t="s">
        <x:v>33</x:v>
      </x:c>
      <x:c r="C102" s="129" t="inlineStr">
        <x:is>
          <x:t xml:space="preserve">Duração</x:t>
        </x:is>
      </x:c>
      <x:c r="D102" s="5" t="s">
        <x:v>21</x:v>
      </x:c>
      <x:c r="E102" s="13"/>
      <x:c r="F102" s="13"/>
      <x:c r="G102" s="13"/>
      <x:c r="H102" s="13"/>
      <x:c r="I102" s="13">
        <x:v>3</x:v>
      </x:c>
      <x:c r="J102" s="13">
        <x:v>1</x:v>
      </x:c>
    </x:row>
    <x:row r="103" ht="21" customHeight="1">
      <x:c r="A103" s="13" t="s">
        <x:v>61</x:v>
      </x:c>
      <x:c r="B103" s="13" t="s">
        <x:v>34</x:v>
      </x:c>
      <x:c r="C103" s="129" t="inlineStr">
        <x:is>
          <x:t xml:space="preserve">Duração</x:t>
        </x:is>
      </x:c>
      <x:c r="D103" s="129" t="inlineStr">
        <x:is>
          <x:t xml:space="preserve">Fixa</x:t>
        </x:is>
      </x:c>
      <x:c r="E103" s="13">
        <x:v>2</x:v>
      </x:c>
      <x:c r="F103" s="13"/>
      <x:c r="G103" s="13"/>
      <x:c r="H103" s="13"/>
      <x:c r="I103" s="13"/>
      <x:c r="J103" s="13"/>
    </x:row>
    <x:row r="104" ht="21" customHeight="1">
      <x:c r="A104" s="13" t="s">
        <x:v>61</x:v>
      </x:c>
      <x:c r="B104" s="13" t="s">
        <x:v>39</x:v>
      </x:c>
      <x:c r="C104" s="129" t="inlineStr">
        <x:is>
          <x:t xml:space="preserve">Duração</x:t>
        </x:is>
      </x:c>
      <x:c r="D104" s="5" t="s">
        <x:v>16</x:v>
      </x:c>
      <x:c r="E104" s="13"/>
      <x:c r="F104" s="13">
        <x:v>1</x:v>
      </x:c>
      <x:c r="G104" s="13">
        <x:v>2</x:v>
      </x:c>
      <x:c r="H104" s="13">
        <x:v>5</x:v>
      </x:c>
      <x:c r="I104" s="13"/>
      <x:c r="J104" s="13"/>
    </x:row>
    <x:row r="105" ht="21" customHeight="1">
      <x:c r="A105" s="13" t="s">
        <x:v>61</x:v>
      </x:c>
      <x:c r="B105" s="13" t="s">
        <x:v>41</x:v>
      </x:c>
      <x:c r="C105" s="129" t="inlineStr">
        <x:is>
          <x:t xml:space="preserve">Duração</x:t>
        </x:is>
      </x:c>
      <x:c r="D105" s="5" t="s">
        <x:v>18</x:v>
      </x:c>
      <x:c r="E105" s="13"/>
      <x:c r="F105" s="13">
        <x:v>1</x:v>
      </x:c>
      <x:c r="G105" s="13">
        <x:v>3</x:v>
      </x:c>
      <x:c r="H105" s="13">
        <x:v>6</x:v>
      </x:c>
      <x:c r="I105" s="13"/>
      <x:c r="J105" s="13"/>
    </x:row>
    <x:row r="106" ht="21" customHeight="1">
      <x:c r="A106" s="13" t="s">
        <x:v>61</x:v>
      </x:c>
      <x:c r="B106" s="13" t="s">
        <x:v>19</x:v>
      </x:c>
      <x:c r="C106" s="129" t="inlineStr">
        <x:is>
          <x:t xml:space="preserve">Custo</x:t>
        </x:is>
      </x:c>
      <x:c r="D106" s="5" t="s">
        <x:v>21</x:v>
      </x:c>
      <x:c r="E106" s="13"/>
      <x:c r="F106" s="13"/>
      <x:c r="G106" s="13"/>
      <x:c r="H106" s="13"/>
      <x:c r="I106" s="13">
        <x:v>3</x:v>
      </x:c>
      <x:c r="J106" s="13">
        <x:v>1</x:v>
      </x:c>
    </x:row>
    <x:row r="107" ht="21" customHeight="1">
      <x:c r="A107" s="13" t="s">
        <x:v>61</x:v>
      </x:c>
      <x:c r="B107" s="13" t="s">
        <x:v>22</x:v>
      </x:c>
      <x:c r="C107" s="129" t="inlineStr">
        <x:is>
          <x:t xml:space="preserve">Custo</x:t>
        </x:is>
      </x:c>
      <x:c r="D107" s="129" t="inlineStr">
        <x:is>
          <x:t xml:space="preserve">Fixa</x:t>
        </x:is>
      </x:c>
      <x:c r="E107" s="13">
        <x:v>2</x:v>
      </x:c>
      <x:c r="F107" s="13"/>
      <x:c r="G107" s="13"/>
      <x:c r="H107" s="13"/>
      <x:c r="I107" s="13"/>
      <x:c r="J107" s="13"/>
    </x:row>
    <x:row r="108" ht="21" customHeight="1">
      <x:c r="A108" s="13" t="s">
        <x:v>61</x:v>
      </x:c>
      <x:c r="B108" s="13" t="s">
        <x:v>23</x:v>
      </x:c>
      <x:c r="C108" s="129" t="inlineStr">
        <x:is>
          <x:t xml:space="preserve">Custo</x:t>
        </x:is>
      </x:c>
      <x:c r="D108" s="5" t="s">
        <x:v>16</x:v>
      </x:c>
      <x:c r="E108" s="13"/>
      <x:c r="F108" s="13">
        <x:v>1</x:v>
      </x:c>
      <x:c r="G108" s="13">
        <x:v>2</x:v>
      </x:c>
      <x:c r="H108" s="13">
        <x:v>5</x:v>
      </x:c>
      <x:c r="I108" s="13"/>
      <x:c r="J108" s="13"/>
    </x:row>
    <x:row r="109" ht="21" customHeight="1">
      <x:c r="A109" s="13" t="s">
        <x:v>61</x:v>
      </x:c>
      <x:c r="B109" s="13" t="s">
        <x:v>30</x:v>
      </x:c>
      <x:c r="C109" s="129" t="inlineStr">
        <x:is>
          <x:t xml:space="preserve">Custo</x:t>
        </x:is>
      </x:c>
      <x:c r="D109" s="5" t="s">
        <x:v>18</x:v>
      </x:c>
      <x:c r="E109" s="13"/>
      <x:c r="F109" s="13">
        <x:v>1</x:v>
      </x:c>
      <x:c r="G109" s="13">
        <x:v>3</x:v>
      </x:c>
      <x:c r="H109" s="13">
        <x:v>6</x:v>
      </x:c>
      <x:c r="I109" s="13"/>
      <x:c r="J109" s="13"/>
    </x:row>
    <x:row r="110" ht="21" customHeight="1">
      <x:c r="A110" s="13" t="s">
        <x:v>61</x:v>
      </x:c>
      <x:c r="B110" s="13" t="s">
        <x:v>39</x:v>
      </x:c>
      <x:c r="C110" s="129" t="inlineStr">
        <x:is>
          <x:t xml:space="preserve">Custo</x:t>
        </x:is>
      </x:c>
      <x:c r="D110" s="5" t="s">
        <x:v>21</x:v>
      </x:c>
      <x:c r="E110" s="13"/>
      <x:c r="F110" s="13"/>
      <x:c r="G110" s="13"/>
      <x:c r="H110" s="13"/>
      <x:c r="I110" s="13">
        <x:v>3</x:v>
      </x:c>
      <x:c r="J110" s="13">
        <x:v>1</x:v>
      </x:c>
    </x:row>
    <x:row r="111" ht="21" customHeight="1">
      <x:c r="A111" s="13" t="s">
        <x:v>61</x:v>
      </x:c>
      <x:c r="B111" s="13" t="s">
        <x:v>41</x:v>
      </x:c>
      <x:c r="C111" s="129" t="inlineStr">
        <x:is>
          <x:t xml:space="preserve">Custo</x:t>
        </x:is>
      </x:c>
      <x:c r="D111" s="129" t="inlineStr">
        <x:is>
          <x:t xml:space="preserve">Fixa</x:t>
        </x:is>
      </x:c>
      <x:c r="E111" s="13">
        <x:v>2</x:v>
      </x:c>
      <x:c r="F111" s="13"/>
      <x:c r="G111" s="13"/>
      <x:c r="H111" s="13"/>
      <x:c r="I111" s="13"/>
      <x:c r="J111" s="13"/>
    </x:row>
    <x:row r="112" ht="21" customHeight="1">
      <x:c r="A112" s="13" t="s">
        <x:v>62</x:v>
      </x:c>
      <x:c r="B112" s="13" t="s">
        <x:v>10</x:v>
      </x:c>
      <x:c r="C112" s="129" t="inlineStr">
        <x:is>
          <x:t xml:space="preserve">Duração</x:t>
        </x:is>
      </x:c>
      <x:c r="D112" s="5" t="s">
        <x:v>16</x:v>
      </x:c>
      <x:c r="E112" s="13"/>
      <x:c r="F112" s="13">
        <x:v>1</x:v>
      </x:c>
      <x:c r="G112" s="13">
        <x:v>2</x:v>
      </x:c>
      <x:c r="H112" s="13">
        <x:v>5</x:v>
      </x:c>
      <x:c r="I112" s="13"/>
      <x:c r="J112" s="13"/>
    </x:row>
    <x:row r="113" ht="21" customHeight="1">
      <x:c r="A113" s="13" t="s">
        <x:v>62</x:v>
      </x:c>
      <x:c r="B113" s="13" t="s">
        <x:v>11</x:v>
      </x:c>
      <x:c r="C113" s="129" t="inlineStr">
        <x:is>
          <x:t xml:space="preserve">Duração</x:t>
        </x:is>
      </x:c>
      <x:c r="D113" s="5" t="s">
        <x:v>18</x:v>
      </x:c>
      <x:c r="E113" s="13"/>
      <x:c r="F113" s="13">
        <x:v>1</x:v>
      </x:c>
      <x:c r="G113" s="13">
        <x:v>3</x:v>
      </x:c>
      <x:c r="H113" s="13">
        <x:v>6</x:v>
      </x:c>
      <x:c r="I113" s="13"/>
      <x:c r="J113" s="13"/>
    </x:row>
    <x:row r="114" ht="21" customHeight="1">
      <x:c r="A114" s="13" t="s">
        <x:v>62</x:v>
      </x:c>
      <x:c r="B114" s="13" t="s">
        <x:v>12</x:v>
      </x:c>
      <x:c r="C114" s="129" t="inlineStr">
        <x:is>
          <x:t xml:space="preserve">Duração</x:t>
        </x:is>
      </x:c>
      <x:c r="D114" s="5" t="s">
        <x:v>21</x:v>
      </x:c>
      <x:c r="E114" s="13"/>
      <x:c r="F114" s="13"/>
      <x:c r="G114" s="13"/>
      <x:c r="H114" s="13"/>
      <x:c r="I114" s="13">
        <x:v>3</x:v>
      </x:c>
      <x:c r="J114" s="13">
        <x:v>1</x:v>
      </x:c>
    </x:row>
    <x:row r="115" ht="21" customHeight="1">
      <x:c r="A115" s="13" t="s">
        <x:v>62</x:v>
      </x:c>
      <x:c r="B115" s="13" t="s">
        <x:v>13</x:v>
      </x:c>
      <x:c r="C115" s="129" t="inlineStr">
        <x:is>
          <x:t xml:space="preserve">Duração</x:t>
        </x:is>
      </x:c>
      <x:c r="D115" s="129" t="inlineStr">
        <x:is>
          <x:t xml:space="preserve">Fixa</x:t>
        </x:is>
      </x:c>
      <x:c r="E115" s="13">
        <x:v>2</x:v>
      </x:c>
      <x:c r="F115" s="13"/>
      <x:c r="G115" s="13"/>
      <x:c r="H115" s="13"/>
      <x:c r="I115" s="13"/>
      <x:c r="J115" s="13"/>
    </x:row>
    <x:row r="116" ht="21" customHeight="1">
      <x:c r="A116" s="13" t="s">
        <x:v>62</x:v>
      </x:c>
      <x:c r="B116" s="13" t="s">
        <x:v>14</x:v>
      </x:c>
      <x:c r="C116" s="129" t="inlineStr">
        <x:is>
          <x:t xml:space="preserve">Duração</x:t>
        </x:is>
      </x:c>
      <x:c r="D116" s="5" t="s">
        <x:v>16</x:v>
      </x:c>
      <x:c r="E116" s="13"/>
      <x:c r="F116" s="13">
        <x:v>1</x:v>
      </x:c>
      <x:c r="G116" s="13">
        <x:v>2</x:v>
      </x:c>
      <x:c r="H116" s="13">
        <x:v>5</x:v>
      </x:c>
      <x:c r="I116" s="13"/>
      <x:c r="J116" s="13"/>
    </x:row>
    <x:row r="117" ht="21" customHeight="1">
      <x:c r="A117" s="13" t="s">
        <x:v>62</x:v>
      </x:c>
      <x:c r="B117" s="13" t="s">
        <x:v>15</x:v>
      </x:c>
      <x:c r="C117" s="129" t="inlineStr">
        <x:is>
          <x:t xml:space="preserve">Duração</x:t>
        </x:is>
      </x:c>
      <x:c r="D117" s="5" t="s">
        <x:v>18</x:v>
      </x:c>
      <x:c r="E117" s="13"/>
      <x:c r="F117" s="13">
        <x:v>1</x:v>
      </x:c>
      <x:c r="G117" s="13">
        <x:v>3</x:v>
      </x:c>
      <x:c r="H117" s="13">
        <x:v>6</x:v>
      </x:c>
      <x:c r="I117" s="13"/>
      <x:c r="J117" s="13"/>
    </x:row>
    <x:row r="118" ht="21" customHeight="1">
      <x:c r="A118" s="13" t="s">
        <x:v>62</x:v>
      </x:c>
      <x:c r="B118" s="13" t="s">
        <x:v>17</x:v>
      </x:c>
      <x:c r="C118" s="129" t="inlineStr">
        <x:is>
          <x:t xml:space="preserve">Duração</x:t>
        </x:is>
      </x:c>
      <x:c r="D118" s="5" t="s">
        <x:v>21</x:v>
      </x:c>
      <x:c r="E118" s="13"/>
      <x:c r="F118" s="13"/>
      <x:c r="G118" s="13"/>
      <x:c r="H118" s="13"/>
      <x:c r="I118" s="13">
        <x:v>3</x:v>
      </x:c>
      <x:c r="J118" s="13">
        <x:v>1</x:v>
      </x:c>
    </x:row>
    <x:row r="119" ht="21" customHeight="1">
      <x:c r="A119" s="13" t="s">
        <x:v>62</x:v>
      </x:c>
      <x:c r="B119" s="13" t="s">
        <x:v>19</x:v>
      </x:c>
      <x:c r="C119" s="129" t="inlineStr">
        <x:is>
          <x:t xml:space="preserve">Duração</x:t>
        </x:is>
      </x:c>
      <x:c r="D119" s="129" t="inlineStr">
        <x:is>
          <x:t xml:space="preserve">Fixa</x:t>
        </x:is>
      </x:c>
      <x:c r="E119" s="13">
        <x:v>2</x:v>
      </x:c>
      <x:c r="F119" s="13"/>
      <x:c r="G119" s="13"/>
      <x:c r="H119" s="13"/>
      <x:c r="I119" s="13"/>
      <x:c r="J119" s="13"/>
    </x:row>
    <x:row r="120" ht="21" customHeight="1">
      <x:c r="A120" s="13" t="s">
        <x:v>62</x:v>
      </x:c>
      <x:c r="B120" s="13" t="s">
        <x:v>22</x:v>
      </x:c>
      <x:c r="C120" s="129" t="inlineStr">
        <x:is>
          <x:t xml:space="preserve">Duração</x:t>
        </x:is>
      </x:c>
      <x:c r="D120" s="5" t="s">
        <x:v>16</x:v>
      </x:c>
      <x:c r="E120" s="13"/>
      <x:c r="F120" s="13">
        <x:v>1</x:v>
      </x:c>
      <x:c r="G120" s="13">
        <x:v>2</x:v>
      </x:c>
      <x:c r="H120" s="13">
        <x:v>5</x:v>
      </x:c>
      <x:c r="I120" s="13"/>
      <x:c r="J120" s="13"/>
    </x:row>
    <x:row r="121" ht="21" customHeight="1">
      <x:c r="A121" s="13" t="s">
        <x:v>62</x:v>
      </x:c>
      <x:c r="B121" s="13" t="s">
        <x:v>23</x:v>
      </x:c>
      <x:c r="C121" s="129" t="inlineStr">
        <x:is>
          <x:t xml:space="preserve">Duração</x:t>
        </x:is>
      </x:c>
      <x:c r="D121" s="5" t="s">
        <x:v>18</x:v>
      </x:c>
      <x:c r="E121" s="13"/>
      <x:c r="F121" s="13">
        <x:v>1</x:v>
      </x:c>
      <x:c r="G121" s="13">
        <x:v>3</x:v>
      </x:c>
      <x:c r="H121" s="13">
        <x:v>6</x:v>
      </x:c>
      <x:c r="I121" s="13"/>
      <x:c r="J121" s="13"/>
    </x:row>
    <x:row r="122" ht="21" customHeight="1">
      <x:c r="A122" s="13" t="s">
        <x:v>62</x:v>
      </x:c>
      <x:c r="B122" s="13" t="s">
        <x:v>26</x:v>
      </x:c>
      <x:c r="C122" s="129" t="inlineStr">
        <x:is>
          <x:t xml:space="preserve">Duração</x:t>
        </x:is>
      </x:c>
      <x:c r="D122" s="5" t="s">
        <x:v>21</x:v>
      </x:c>
      <x:c r="E122" s="13"/>
      <x:c r="F122" s="13"/>
      <x:c r="G122" s="13"/>
      <x:c r="H122" s="13"/>
      <x:c r="I122" s="13">
        <x:v>3</x:v>
      </x:c>
      <x:c r="J122" s="13">
        <x:v>1</x:v>
      </x:c>
    </x:row>
    <x:row r="123" ht="21" customHeight="1">
      <x:c r="A123" s="13" t="s">
        <x:v>62</x:v>
      </x:c>
      <x:c r="B123" s="13" t="s">
        <x:v>28</x:v>
      </x:c>
      <x:c r="C123" s="129" t="inlineStr">
        <x:is>
          <x:t xml:space="preserve">Duração</x:t>
        </x:is>
      </x:c>
      <x:c r="D123" s="129" t="inlineStr">
        <x:is>
          <x:t xml:space="preserve">Fixa</x:t>
        </x:is>
      </x:c>
      <x:c r="E123" s="13">
        <x:v>2</x:v>
      </x:c>
      <x:c r="F123" s="13"/>
      <x:c r="G123" s="13"/>
      <x:c r="H123" s="13"/>
      <x:c r="I123" s="13"/>
      <x:c r="J123" s="13"/>
    </x:row>
    <x:row r="124" ht="21" customHeight="1">
      <x:c r="A124" s="13" t="s">
        <x:v>62</x:v>
      </x:c>
      <x:c r="B124" s="13" t="s">
        <x:v>30</x:v>
      </x:c>
      <x:c r="C124" s="129" t="inlineStr">
        <x:is>
          <x:t xml:space="preserve">Duração</x:t>
        </x:is>
      </x:c>
      <x:c r="D124" s="5" t="s">
        <x:v>16</x:v>
      </x:c>
      <x:c r="E124" s="13"/>
      <x:c r="F124" s="13">
        <x:v>1</x:v>
      </x:c>
      <x:c r="G124" s="13">
        <x:v>2</x:v>
      </x:c>
      <x:c r="H124" s="13">
        <x:v>5</x:v>
      </x:c>
      <x:c r="I124" s="13"/>
      <x:c r="J124" s="13"/>
    </x:row>
    <x:row r="125" ht="21" customHeight="1">
      <x:c r="A125" s="13" t="s">
        <x:v>62</x:v>
      </x:c>
      <x:c r="B125" s="13" t="s">
        <x:v>31</x:v>
      </x:c>
      <x:c r="C125" s="129" t="inlineStr">
        <x:is>
          <x:t xml:space="preserve">Duração</x:t>
        </x:is>
      </x:c>
      <x:c r="D125" s="5" t="s">
        <x:v>18</x:v>
      </x:c>
      <x:c r="E125" s="13"/>
      <x:c r="F125" s="13">
        <x:v>1</x:v>
      </x:c>
      <x:c r="G125" s="13">
        <x:v>3</x:v>
      </x:c>
      <x:c r="H125" s="13">
        <x:v>6</x:v>
      </x:c>
      <x:c r="I125" s="13"/>
      <x:c r="J125" s="13"/>
    </x:row>
    <x:row r="126" ht="21" customHeight="1">
      <x:c r="A126" s="13" t="s">
        <x:v>62</x:v>
      </x:c>
      <x:c r="B126" s="13" t="s">
        <x:v>33</x:v>
      </x:c>
      <x:c r="C126" s="129" t="inlineStr">
        <x:is>
          <x:t xml:space="preserve">Duração</x:t>
        </x:is>
      </x:c>
      <x:c r="D126" s="5" t="s">
        <x:v>21</x:v>
      </x:c>
      <x:c r="E126" s="13"/>
      <x:c r="F126" s="13"/>
      <x:c r="G126" s="13"/>
      <x:c r="H126" s="13"/>
      <x:c r="I126" s="13">
        <x:v>3</x:v>
      </x:c>
      <x:c r="J126" s="13">
        <x:v>1</x:v>
      </x:c>
    </x:row>
    <x:row r="127" ht="21" customHeight="1">
      <x:c r="A127" s="13" t="s">
        <x:v>62</x:v>
      </x:c>
      <x:c r="B127" s="13" t="s">
        <x:v>34</x:v>
      </x:c>
      <x:c r="C127" s="129" t="inlineStr">
        <x:is>
          <x:t xml:space="preserve">Duração</x:t>
        </x:is>
      </x:c>
      <x:c r="D127" s="129" t="inlineStr">
        <x:is>
          <x:t xml:space="preserve">Fixa</x:t>
        </x:is>
      </x:c>
      <x:c r="E127" s="13">
        <x:v>2</x:v>
      </x:c>
      <x:c r="F127" s="13"/>
      <x:c r="G127" s="13"/>
      <x:c r="H127" s="13"/>
      <x:c r="I127" s="13"/>
      <x:c r="J127" s="13"/>
    </x:row>
    <x:row r="128" ht="21" customHeight="1">
      <x:c r="A128" s="13" t="s">
        <x:v>62</x:v>
      </x:c>
      <x:c r="B128" s="13" t="s">
        <x:v>36</x:v>
      </x:c>
      <x:c r="C128" s="129" t="inlineStr">
        <x:is>
          <x:t xml:space="preserve">Duração</x:t>
        </x:is>
      </x:c>
      <x:c r="D128" s="5" t="s">
        <x:v>16</x:v>
      </x:c>
      <x:c r="E128" s="13"/>
      <x:c r="F128" s="13">
        <x:v>1</x:v>
      </x:c>
      <x:c r="G128" s="13">
        <x:v>2</x:v>
      </x:c>
      <x:c r="H128" s="13">
        <x:v>5</x:v>
      </x:c>
      <x:c r="I128" s="13"/>
      <x:c r="J128" s="13"/>
    </x:row>
    <x:row r="129" ht="21" customHeight="1">
      <x:c r="A129" s="13" t="s">
        <x:v>62</x:v>
      </x:c>
      <x:c r="B129" s="13" t="s">
        <x:v>38</x:v>
      </x:c>
      <x:c r="C129" s="129" t="inlineStr">
        <x:is>
          <x:t xml:space="preserve">Duração</x:t>
        </x:is>
      </x:c>
      <x:c r="D129" s="5" t="s">
        <x:v>18</x:v>
      </x:c>
      <x:c r="E129" s="13"/>
      <x:c r="F129" s="13">
        <x:v>1</x:v>
      </x:c>
      <x:c r="G129" s="13">
        <x:v>3</x:v>
      </x:c>
      <x:c r="H129" s="13">
        <x:v>6</x:v>
      </x:c>
      <x:c r="I129" s="13"/>
      <x:c r="J129" s="13"/>
    </x:row>
    <x:row r="130" ht="21" customHeight="1">
      <x:c r="A130" s="13" t="s">
        <x:v>62</x:v>
      </x:c>
      <x:c r="B130" s="13" t="s">
        <x:v>39</x:v>
      </x:c>
      <x:c r="C130" s="129" t="inlineStr">
        <x:is>
          <x:t xml:space="preserve">Duração</x:t>
        </x:is>
      </x:c>
      <x:c r="D130" s="5" t="s">
        <x:v>21</x:v>
      </x:c>
      <x:c r="E130" s="13"/>
      <x:c r="F130" s="13"/>
      <x:c r="G130" s="13"/>
      <x:c r="H130" s="13"/>
      <x:c r="I130" s="13">
        <x:v>3</x:v>
      </x:c>
      <x:c r="J130" s="13">
        <x:v>1</x:v>
      </x:c>
    </x:row>
    <x:row r="131" ht="21" customHeight="1">
      <x:c r="A131" s="13" t="s">
        <x:v>62</x:v>
      </x:c>
      <x:c r="B131" s="13" t="s">
        <x:v>41</x:v>
      </x:c>
      <x:c r="C131" s="129" t="inlineStr">
        <x:is>
          <x:t xml:space="preserve">Duração</x:t>
        </x:is>
      </x:c>
      <x:c r="D131" s="129" t="inlineStr">
        <x:is>
          <x:t xml:space="preserve">Fixa</x:t>
        </x:is>
      </x:c>
      <x:c r="E131" s="13">
        <x:v>2</x:v>
      </x:c>
      <x:c r="F131" s="13"/>
      <x:c r="G131" s="13"/>
      <x:c r="H131" s="13"/>
      <x:c r="I131" s="13"/>
      <x:c r="J131" s="13"/>
    </x:row>
    <x:row r="132" ht="21" customHeight="1">
      <x:c r="A132" s="13" t="s">
        <x:v>62</x:v>
      </x:c>
      <x:c r="B132" s="13" t="s">
        <x:v>10</x:v>
      </x:c>
      <x:c r="C132" s="129" t="inlineStr">
        <x:is>
          <x:t xml:space="preserve">Custo</x:t>
        </x:is>
      </x:c>
      <x:c r="D132" s="5" t="s">
        <x:v>16</x:v>
      </x:c>
      <x:c r="E132" s="13"/>
      <x:c r="F132" s="13">
        <x:v>1</x:v>
      </x:c>
      <x:c r="G132" s="13">
        <x:v>2</x:v>
      </x:c>
      <x:c r="H132" s="13">
        <x:v>5</x:v>
      </x:c>
      <x:c r="I132" s="13"/>
      <x:c r="J132" s="13"/>
    </x:row>
    <x:row r="133" ht="21" customHeight="1">
      <x:c r="A133" s="13" t="s">
        <x:v>62</x:v>
      </x:c>
      <x:c r="B133" s="13" t="s">
        <x:v>12</x:v>
      </x:c>
      <x:c r="C133" s="129" t="inlineStr">
        <x:is>
          <x:t xml:space="preserve">Custo</x:t>
        </x:is>
      </x:c>
      <x:c r="D133" s="5" t="s">
        <x:v>18</x:v>
      </x:c>
      <x:c r="E133" s="13"/>
      <x:c r="F133" s="13">
        <x:v>1</x:v>
      </x:c>
      <x:c r="G133" s="13">
        <x:v>3</x:v>
      </x:c>
      <x:c r="H133" s="13">
        <x:v>6</x:v>
      </x:c>
      <x:c r="I133" s="13"/>
      <x:c r="J133" s="13"/>
    </x:row>
    <x:row r="134" ht="21" customHeight="1">
      <x:c r="A134" s="13" t="s">
        <x:v>62</x:v>
      </x:c>
      <x:c r="B134" s="13" t="s">
        <x:v>13</x:v>
      </x:c>
      <x:c r="C134" s="129" t="inlineStr">
        <x:is>
          <x:t xml:space="preserve">Custo</x:t>
        </x:is>
      </x:c>
      <x:c r="D134" s="5" t="s">
        <x:v>21</x:v>
      </x:c>
      <x:c r="E134" s="13"/>
      <x:c r="F134" s="13"/>
      <x:c r="G134" s="13"/>
      <x:c r="H134" s="13"/>
      <x:c r="I134" s="13">
        <x:v>3</x:v>
      </x:c>
      <x:c r="J134" s="13">
        <x:v>1</x:v>
      </x:c>
    </x:row>
    <x:row r="135" ht="21" customHeight="1">
      <x:c r="A135" s="13" t="s">
        <x:v>62</x:v>
      </x:c>
      <x:c r="B135" s="13" t="s">
        <x:v>26</x:v>
      </x:c>
      <x:c r="C135" s="129" t="inlineStr">
        <x:is>
          <x:t xml:space="preserve">Custo</x:t>
        </x:is>
      </x:c>
      <x:c r="D135" s="129" t="inlineStr">
        <x:is>
          <x:t xml:space="preserve">Fixa</x:t>
        </x:is>
      </x:c>
      <x:c r="E135" s="13">
        <x:v>2</x:v>
      </x:c>
      <x:c r="F135" s="13"/>
      <x:c r="G135" s="13"/>
      <x:c r="H135" s="13"/>
      <x:c r="I135" s="13"/>
      <x:c r="J135" s="13"/>
    </x:row>
    <x:row r="136" ht="21" customHeight="1">
      <x:c r="A136" s="13" t="s">
        <x:v>62</x:v>
      </x:c>
      <x:c r="B136" s="13" t="s">
        <x:v>31</x:v>
      </x:c>
      <x:c r="C136" s="129" t="inlineStr">
        <x:is>
          <x:t xml:space="preserve">Custo</x:t>
        </x:is>
      </x:c>
      <x:c r="D136" s="5" t="s">
        <x:v>16</x:v>
      </x:c>
      <x:c r="E136" s="13"/>
      <x:c r="F136" s="13">
        <x:v>1</x:v>
      </x:c>
      <x:c r="G136" s="13">
        <x:v>2</x:v>
      </x:c>
      <x:c r="H136" s="13">
        <x:v>5</x:v>
      </x:c>
      <x:c r="I136" s="13"/>
      <x:c r="J136" s="13"/>
    </x:row>
    <x:row r="137" ht="21" customHeight="1">
      <x:c r="A137" s="13" t="s">
        <x:v>62</x:v>
      </x:c>
      <x:c r="B137" s="13" t="s">
        <x:v>34</x:v>
      </x:c>
      <x:c r="C137" s="129" t="inlineStr">
        <x:is>
          <x:t xml:space="preserve">Custo</x:t>
        </x:is>
      </x:c>
      <x:c r="D137" s="5" t="s">
        <x:v>18</x:v>
      </x:c>
      <x:c r="E137" s="13"/>
      <x:c r="F137" s="13">
        <x:v>1</x:v>
      </x:c>
      <x:c r="G137" s="13">
        <x:v>3</x:v>
      </x:c>
      <x:c r="H137" s="13">
        <x:v>6</x:v>
      </x:c>
      <x:c r="I137" s="13"/>
      <x:c r="J137" s="13"/>
    </x:row>
    <x:row r="138" ht="21" customHeight="1">
      <x:c r="A138" s="13" t="s">
        <x:v>62</x:v>
      </x:c>
      <x:c r="B138" s="13" t="s">
        <x:v>39</x:v>
      </x:c>
      <x:c r="C138" s="129" t="inlineStr">
        <x:is>
          <x:t xml:space="preserve">Custo</x:t>
        </x:is>
      </x:c>
      <x:c r="D138" s="5" t="s">
        <x:v>21</x:v>
      </x:c>
      <x:c r="E138" s="13"/>
      <x:c r="F138" s="13"/>
      <x:c r="G138" s="13"/>
      <x:c r="H138" s="13"/>
      <x:c r="I138" s="13">
        <x:v>3</x:v>
      </x:c>
      <x:c r="J138" s="13">
        <x:v>1</x:v>
      </x:c>
    </x:row>
    <x:row r="139" ht="21" customHeight="1">
      <x:c r="A139" s="13" t="s">
        <x:v>63</x:v>
      </x:c>
      <x:c r="B139" s="13" t="s">
        <x:v>8</x:v>
      </x:c>
      <x:c r="C139" s="129" t="inlineStr">
        <x:is>
          <x:t xml:space="preserve">Duração</x:t>
        </x:is>
      </x:c>
      <x:c r="D139" s="129" t="inlineStr">
        <x:is>
          <x:t xml:space="preserve">Fixa</x:t>
        </x:is>
      </x:c>
      <x:c r="E139" s="13">
        <x:v>2</x:v>
      </x:c>
      <x:c r="F139" s="13"/>
      <x:c r="G139" s="13"/>
      <x:c r="H139" s="13"/>
      <x:c r="I139" s="13"/>
      <x:c r="J139" s="13"/>
    </x:row>
    <x:row r="140" ht="21" customHeight="1">
      <x:c r="A140" s="13" t="s">
        <x:v>63</x:v>
      </x:c>
      <x:c r="B140" s="13" t="s">
        <x:v>9</x:v>
      </x:c>
      <x:c r="C140" s="129" t="inlineStr">
        <x:is>
          <x:t xml:space="preserve">Duração</x:t>
        </x:is>
      </x:c>
      <x:c r="D140" s="5" t="s">
        <x:v>16</x:v>
      </x:c>
      <x:c r="E140" s="13"/>
      <x:c r="F140" s="13">
        <x:v>1</x:v>
      </x:c>
      <x:c r="G140" s="13">
        <x:v>2</x:v>
      </x:c>
      <x:c r="H140" s="13">
        <x:v>5</x:v>
      </x:c>
      <x:c r="I140" s="13"/>
      <x:c r="J140" s="13"/>
    </x:row>
    <x:row r="141" ht="21" customHeight="1">
      <x:c r="A141" s="13" t="s">
        <x:v>63</x:v>
      </x:c>
      <x:c r="B141" s="13" t="s">
        <x:v>10</x:v>
      </x:c>
      <x:c r="C141" s="129" t="inlineStr">
        <x:is>
          <x:t xml:space="preserve">Duração</x:t>
        </x:is>
      </x:c>
      <x:c r="D141" s="5" t="s">
        <x:v>18</x:v>
      </x:c>
      <x:c r="E141" s="13"/>
      <x:c r="F141" s="13">
        <x:v>1</x:v>
      </x:c>
      <x:c r="G141" s="13">
        <x:v>3</x:v>
      </x:c>
      <x:c r="H141" s="13">
        <x:v>6</x:v>
      </x:c>
      <x:c r="I141" s="13"/>
      <x:c r="J141" s="13"/>
    </x:row>
    <x:row r="142" ht="21" customHeight="1">
      <x:c r="A142" s="13" t="s">
        <x:v>63</x:v>
      </x:c>
      <x:c r="B142" s="13" t="s">
        <x:v>12</x:v>
      </x:c>
      <x:c r="C142" s="129" t="inlineStr">
        <x:is>
          <x:t xml:space="preserve">Duração</x:t>
        </x:is>
      </x:c>
      <x:c r="D142" s="5" t="s">
        <x:v>21</x:v>
      </x:c>
      <x:c r="E142" s="13"/>
      <x:c r="F142" s="13"/>
      <x:c r="G142" s="13"/>
      <x:c r="H142" s="13"/>
      <x:c r="I142" s="13">
        <x:v>3</x:v>
      </x:c>
      <x:c r="J142" s="13">
        <x:v>1</x:v>
      </x:c>
    </x:row>
    <x:row r="143" ht="21" customHeight="1">
      <x:c r="A143" s="13" t="s">
        <x:v>63</x:v>
      </x:c>
      <x:c r="B143" s="13" t="s">
        <x:v>13</x:v>
      </x:c>
      <x:c r="C143" s="129" t="inlineStr">
        <x:is>
          <x:t xml:space="preserve">Duração</x:t>
        </x:is>
      </x:c>
      <x:c r="D143" s="129" t="inlineStr">
        <x:is>
          <x:t xml:space="preserve">Fixa</x:t>
        </x:is>
      </x:c>
      <x:c r="E143" s="13">
        <x:v>2</x:v>
      </x:c>
      <x:c r="F143" s="13"/>
      <x:c r="G143" s="13"/>
      <x:c r="H143" s="13"/>
      <x:c r="I143" s="13"/>
      <x:c r="J143" s="13"/>
    </x:row>
    <x:row r="144" ht="21" customHeight="1">
      <x:c r="A144" s="13" t="s">
        <x:v>63</x:v>
      </x:c>
      <x:c r="B144" s="13" t="s">
        <x:v>14</x:v>
      </x:c>
      <x:c r="C144" s="129" t="inlineStr">
        <x:is>
          <x:t xml:space="preserve">Duração</x:t>
        </x:is>
      </x:c>
      <x:c r="D144" s="5" t="s">
        <x:v>16</x:v>
      </x:c>
      <x:c r="E144" s="13"/>
      <x:c r="F144" s="13">
        <x:v>1</x:v>
      </x:c>
      <x:c r="G144" s="13">
        <x:v>2</x:v>
      </x:c>
      <x:c r="H144" s="13">
        <x:v>5</x:v>
      </x:c>
      <x:c r="I144" s="13"/>
      <x:c r="J144" s="13"/>
    </x:row>
    <x:row r="145" ht="21" customHeight="1">
      <x:c r="A145" s="13" t="s">
        <x:v>63</x:v>
      </x:c>
      <x:c r="B145" s="13" t="s">
        <x:v>24</x:v>
      </x:c>
      <x:c r="C145" s="129" t="inlineStr">
        <x:is>
          <x:t xml:space="preserve">Duração</x:t>
        </x:is>
      </x:c>
      <x:c r="D145" s="5" t="s">
        <x:v>18</x:v>
      </x:c>
      <x:c r="E145" s="13"/>
      <x:c r="F145" s="13">
        <x:v>1</x:v>
      </x:c>
      <x:c r="G145" s="13">
        <x:v>3</x:v>
      </x:c>
      <x:c r="H145" s="13">
        <x:v>6</x:v>
      </x:c>
      <x:c r="I145" s="13"/>
      <x:c r="J145" s="13"/>
    </x:row>
    <x:row r="146" ht="21" customHeight="1">
      <x:c r="A146" s="13" t="s">
        <x:v>63</x:v>
      </x:c>
      <x:c r="B146" s="13" t="s">
        <x:v>30</x:v>
      </x:c>
      <x:c r="C146" s="129" t="inlineStr">
        <x:is>
          <x:t xml:space="preserve">Duração</x:t>
        </x:is>
      </x:c>
      <x:c r="D146" s="5" t="s">
        <x:v>21</x:v>
      </x:c>
      <x:c r="E146" s="13"/>
      <x:c r="F146" s="13"/>
      <x:c r="G146" s="13"/>
      <x:c r="H146" s="13"/>
      <x:c r="I146" s="13">
        <x:v>3</x:v>
      </x:c>
      <x:c r="J146" s="13">
        <x:v>1</x:v>
      </x:c>
    </x:row>
    <x:row r="147" ht="21" customHeight="1">
      <x:c r="A147" s="13" t="s">
        <x:v>63</x:v>
      </x:c>
      <x:c r="B147" s="13" t="s">
        <x:v>41</x:v>
      </x:c>
      <x:c r="C147" s="129" t="inlineStr">
        <x:is>
          <x:t xml:space="preserve">Duração</x:t>
        </x:is>
      </x:c>
      <x:c r="D147" s="129" t="inlineStr">
        <x:is>
          <x:t xml:space="preserve">Fixa</x:t>
        </x:is>
      </x:c>
      <x:c r="E147" s="13">
        <x:v>2</x:v>
      </x:c>
      <x:c r="F147" s="13"/>
      <x:c r="G147" s="13"/>
      <x:c r="H147" s="13"/>
      <x:c r="I147" s="13"/>
      <x:c r="J147" s="13"/>
    </x:row>
    <x:row r="148" ht="21" customHeight="1">
      <x:c r="A148" s="13" t="s">
        <x:v>63</x:v>
      </x:c>
      <x:c r="B148" s="13" t="s">
        <x:v>10</x:v>
      </x:c>
      <x:c r="C148" s="129" t="inlineStr">
        <x:is>
          <x:t xml:space="preserve">Custo</x:t>
        </x:is>
      </x:c>
      <x:c r="D148" s="5" t="s">
        <x:v>16</x:v>
      </x:c>
      <x:c r="E148" s="13"/>
      <x:c r="F148" s="13">
        <x:v>1</x:v>
      </x:c>
      <x:c r="G148" s="13">
        <x:v>2</x:v>
      </x:c>
      <x:c r="H148" s="13">
        <x:v>5</x:v>
      </x:c>
      <x:c r="I148" s="13"/>
      <x:c r="J148" s="13"/>
    </x:row>
    <x:row r="149" ht="21" customHeight="1">
      <x:c r="A149" s="13" t="s">
        <x:v>63</x:v>
      </x:c>
      <x:c r="B149" s="13" t="s">
        <x:v>12</x:v>
      </x:c>
      <x:c r="C149" s="129" t="inlineStr">
        <x:is>
          <x:t xml:space="preserve">Custo</x:t>
        </x:is>
      </x:c>
      <x:c r="D149" s="5" t="s">
        <x:v>18</x:v>
      </x:c>
      <x:c r="E149" s="13"/>
      <x:c r="F149" s="13">
        <x:v>1</x:v>
      </x:c>
      <x:c r="G149" s="13">
        <x:v>3</x:v>
      </x:c>
      <x:c r="H149" s="13">
        <x:v>6</x:v>
      </x:c>
      <x:c r="I149" s="13"/>
      <x:c r="J149" s="13"/>
    </x:row>
    <x:row r="150" ht="21" customHeight="1">
      <x:c r="A150" s="13" t="s">
        <x:v>63</x:v>
      </x:c>
      <x:c r="B150" s="13" t="s">
        <x:v>13</x:v>
      </x:c>
      <x:c r="C150" s="129" t="inlineStr">
        <x:is>
          <x:t xml:space="preserve">Custo</x:t>
        </x:is>
      </x:c>
      <x:c r="D150" s="5" t="s">
        <x:v>21</x:v>
      </x:c>
      <x:c r="E150" s="13"/>
      <x:c r="F150" s="13"/>
      <x:c r="G150" s="13"/>
      <x:c r="H150" s="13"/>
      <x:c r="I150" s="13">
        <x:v>3</x:v>
      </x:c>
      <x:c r="J150" s="13">
        <x:v>1</x:v>
      </x:c>
    </x:row>
    <x:row r="151" ht="21" customHeight="1">
      <x:c r="A151" s="13" t="s">
        <x:v>63</x:v>
      </x:c>
      <x:c r="B151" s="13" t="s">
        <x:v>14</x:v>
      </x:c>
      <x:c r="C151" s="129" t="inlineStr">
        <x:is>
          <x:t xml:space="preserve">Custo</x:t>
        </x:is>
      </x:c>
      <x:c r="D151" s="129" t="inlineStr">
        <x:is>
          <x:t xml:space="preserve">Fixa</x:t>
        </x:is>
      </x:c>
      <x:c r="E151" s="13">
        <x:v>2</x:v>
      </x:c>
      <x:c r="F151" s="13"/>
      <x:c r="G151" s="13"/>
      <x:c r="H151" s="13"/>
      <x:c r="I151" s="13"/>
      <x:c r="J151" s="13"/>
    </x:row>
    <x:row r="152" ht="21" customHeight="1">
      <x:c r="A152" s="13" t="s">
        <x:v>64</x:v>
      </x:c>
      <x:c r="B152" s="13" t="s">
        <x:v>19</x:v>
      </x:c>
      <x:c r="C152" s="129" t="inlineStr">
        <x:is>
          <x:t xml:space="preserve">Duração</x:t>
        </x:is>
      </x:c>
      <x:c r="D152" s="5" t="s">
        <x:v>16</x:v>
      </x:c>
      <x:c r="E152" s="13"/>
      <x:c r="F152" s="13">
        <x:v>1</x:v>
      </x:c>
      <x:c r="G152" s="13">
        <x:v>2</x:v>
      </x:c>
      <x:c r="H152" s="13">
        <x:v>5</x:v>
      </x:c>
      <x:c r="I152" s="13"/>
      <x:c r="J152" s="13"/>
    </x:row>
    <x:row r="153" ht="21" customHeight="1">
      <x:c r="A153" s="13" t="s">
        <x:v>64</x:v>
      </x:c>
      <x:c r="B153" s="13" t="s">
        <x:v>22</x:v>
      </x:c>
      <x:c r="C153" s="129" t="inlineStr">
        <x:is>
          <x:t xml:space="preserve">Duração</x:t>
        </x:is>
      </x:c>
      <x:c r="D153" s="5" t="s">
        <x:v>18</x:v>
      </x:c>
      <x:c r="E153" s="13"/>
      <x:c r="F153" s="13">
        <x:v>1</x:v>
      </x:c>
      <x:c r="G153" s="13">
        <x:v>3</x:v>
      </x:c>
      <x:c r="H153" s="13">
        <x:v>6</x:v>
      </x:c>
      <x:c r="I153" s="13"/>
      <x:c r="J153" s="13"/>
    </x:row>
    <x:row r="154" ht="21" customHeight="1">
      <x:c r="A154" s="13" t="s">
        <x:v>64</x:v>
      </x:c>
      <x:c r="B154" s="13" t="s">
        <x:v>23</x:v>
      </x:c>
      <x:c r="C154" s="129" t="inlineStr">
        <x:is>
          <x:t xml:space="preserve">Duração</x:t>
        </x:is>
      </x:c>
      <x:c r="D154" s="5" t="s">
        <x:v>21</x:v>
      </x:c>
      <x:c r="E154" s="13"/>
      <x:c r="F154" s="13"/>
      <x:c r="G154" s="13"/>
      <x:c r="H154" s="13"/>
      <x:c r="I154" s="13">
        <x:v>3</x:v>
      </x:c>
      <x:c r="J154" s="13">
        <x:v>1</x:v>
      </x:c>
    </x:row>
    <x:row r="155" ht="21" customHeight="1">
      <x:c r="A155" s="13" t="s">
        <x:v>64</x:v>
      </x:c>
      <x:c r="B155" s="13" t="s">
        <x:v>41</x:v>
      </x:c>
      <x:c r="C155" s="129" t="inlineStr">
        <x:is>
          <x:t xml:space="preserve">Duração</x:t>
        </x:is>
      </x:c>
      <x:c r="D155" s="129" t="inlineStr">
        <x:is>
          <x:t xml:space="preserve">Fixa</x:t>
        </x:is>
      </x:c>
      <x:c r="E155" s="13">
        <x:v>2</x:v>
      </x:c>
      <x:c r="F155" s="13"/>
      <x:c r="G155" s="13"/>
      <x:c r="H155" s="13"/>
      <x:c r="I155" s="13"/>
      <x:c r="J155" s="13"/>
    </x:row>
    <x:row r="156" ht="21" customHeight="1">
      <x:c r="A156" s="13" t="s">
        <x:v>64</x:v>
      </x:c>
      <x:c r="B156" s="13" t="s">
        <x:v>19</x:v>
      </x:c>
      <x:c r="C156" s="129" t="inlineStr">
        <x:is>
          <x:t xml:space="preserve">Custo</x:t>
        </x:is>
      </x:c>
      <x:c r="D156" s="5" t="s">
        <x:v>16</x:v>
      </x:c>
      <x:c r="E156" s="13"/>
      <x:c r="F156" s="13">
        <x:v>1</x:v>
      </x:c>
      <x:c r="G156" s="13">
        <x:v>2</x:v>
      </x:c>
      <x:c r="H156" s="13">
        <x:v>5</x:v>
      </x:c>
      <x:c r="I156" s="13"/>
      <x:c r="J156" s="13"/>
    </x:row>
    <x:row r="157" ht="21" customHeight="1">
      <x:c r="A157" s="13" t="s">
        <x:v>64</x:v>
      </x:c>
      <x:c r="B157" s="13" t="s">
        <x:v>22</x:v>
      </x:c>
      <x:c r="C157" s="129" t="inlineStr">
        <x:is>
          <x:t xml:space="preserve">Custo</x:t>
        </x:is>
      </x:c>
      <x:c r="D157" s="5" t="s">
        <x:v>18</x:v>
      </x:c>
      <x:c r="E157" s="13"/>
      <x:c r="F157" s="13">
        <x:v>1</x:v>
      </x:c>
      <x:c r="G157" s="13">
        <x:v>3</x:v>
      </x:c>
      <x:c r="H157" s="13">
        <x:v>6</x:v>
      </x:c>
      <x:c r="I157" s="13"/>
      <x:c r="J157" s="13"/>
    </x:row>
    <x:row r="158" ht="21" customHeight="1">
      <x:c r="A158" s="13" t="s">
        <x:v>64</x:v>
      </x:c>
      <x:c r="B158" s="13" t="s">
        <x:v>41</x:v>
      </x:c>
      <x:c r="C158" s="129" t="inlineStr">
        <x:is>
          <x:t xml:space="preserve">Custo</x:t>
        </x:is>
      </x:c>
      <x:c r="D158" s="5" t="s">
        <x:v>21</x:v>
      </x:c>
      <x:c r="E158" s="13"/>
      <x:c r="F158" s="13"/>
      <x:c r="G158" s="13"/>
      <x:c r="H158" s="13"/>
      <x:c r="I158" s="13">
        <x:v>3</x:v>
      </x:c>
      <x:c r="J158" s="13">
        <x:v>1</x:v>
      </x:c>
    </x:row>
    <x:row r="159" ht="21" customHeight="1">
      <x:c r="A159" s="13" t="s">
        <x:v>65</x:v>
      </x:c>
      <x:c r="B159" s="13" t="s">
        <x:v>24</x:v>
      </x:c>
      <x:c r="C159" s="129" t="inlineStr">
        <x:is>
          <x:t xml:space="preserve">Duração</x:t>
        </x:is>
      </x:c>
      <x:c r="D159" s="129" t="inlineStr">
        <x:is>
          <x:t xml:space="preserve">Fixa</x:t>
        </x:is>
      </x:c>
      <x:c r="E159" s="13">
        <x:v>2</x:v>
      </x:c>
      <x:c r="F159" s="13"/>
      <x:c r="G159" s="13"/>
      <x:c r="H159" s="13"/>
      <x:c r="I159" s="13"/>
      <x:c r="J159" s="13"/>
    </x:row>
    <x:row r="160" ht="21" customHeight="1">
      <x:c r="A160" s="13" t="s">
        <x:v>65</x:v>
      </x:c>
      <x:c r="B160" s="13" t="s">
        <x:v>30</x:v>
      </x:c>
      <x:c r="C160" s="129" t="inlineStr">
        <x:is>
          <x:t xml:space="preserve">Duração</x:t>
        </x:is>
      </x:c>
      <x:c r="D160" s="5" t="s">
        <x:v>16</x:v>
      </x:c>
      <x:c r="E160" s="13"/>
      <x:c r="F160" s="13">
        <x:v>1</x:v>
      </x:c>
      <x:c r="G160" s="13">
        <x:v>2</x:v>
      </x:c>
      <x:c r="H160" s="13">
        <x:v>5</x:v>
      </x:c>
      <x:c r="I160" s="13"/>
      <x:c r="J160" s="13"/>
    </x:row>
    <x:row r="161" ht="21" customHeight="1">
      <x:c r="A161" s="13" t="s">
        <x:v>65</x:v>
      </x:c>
      <x:c r="B161" s="13" t="s">
        <x:v>31</x:v>
      </x:c>
      <x:c r="C161" s="129" t="inlineStr">
        <x:is>
          <x:t xml:space="preserve">Duração</x:t>
        </x:is>
      </x:c>
      <x:c r="D161" s="5" t="s">
        <x:v>18</x:v>
      </x:c>
      <x:c r="E161" s="13"/>
      <x:c r="F161" s="13">
        <x:v>1</x:v>
      </x:c>
      <x:c r="G161" s="13">
        <x:v>3</x:v>
      </x:c>
      <x:c r="H161" s="13">
        <x:v>6</x:v>
      </x:c>
      <x:c r="I161" s="13"/>
      <x:c r="J161" s="13"/>
    </x:row>
    <x:row r="162" ht="21" customHeight="1">
      <x:c r="A162" s="13" t="s">
        <x:v>65</x:v>
      </x:c>
      <x:c r="B162" s="13" t="s">
        <x:v>33</x:v>
      </x:c>
      <x:c r="C162" s="129" t="inlineStr">
        <x:is>
          <x:t xml:space="preserve">Duração</x:t>
        </x:is>
      </x:c>
      <x:c r="D162" s="5" t="s">
        <x:v>21</x:v>
      </x:c>
      <x:c r="E162" s="13"/>
      <x:c r="F162" s="13"/>
      <x:c r="G162" s="13"/>
      <x:c r="H162" s="13"/>
      <x:c r="I162" s="13">
        <x:v>3</x:v>
      </x:c>
      <x:c r="J162" s="13">
        <x:v>1</x:v>
      </x:c>
    </x:row>
    <x:row r="163" ht="21" customHeight="1">
      <x:c r="A163" s="13" t="s">
        <x:v>65</x:v>
      </x:c>
      <x:c r="B163" s="13" t="s">
        <x:v>34</x:v>
      </x:c>
      <x:c r="C163" s="129" t="inlineStr">
        <x:is>
          <x:t xml:space="preserve">Duração</x:t>
        </x:is>
      </x:c>
      <x:c r="D163" s="129" t="inlineStr">
        <x:is>
          <x:t xml:space="preserve">Fixa</x:t>
        </x:is>
      </x:c>
      <x:c r="E163" s="13">
        <x:v>2</x:v>
      </x:c>
      <x:c r="F163" s="13"/>
      <x:c r="G163" s="13"/>
      <x:c r="H163" s="13"/>
      <x:c r="I163" s="13"/>
      <x:c r="J163" s="13"/>
    </x:row>
    <x:row r="164" ht="21" customHeight="1">
      <x:c r="A164" s="13" t="s">
        <x:v>65</x:v>
      </x:c>
      <x:c r="B164" s="13" t="s">
        <x:v>36</x:v>
      </x:c>
      <x:c r="C164" s="129" t="inlineStr">
        <x:is>
          <x:t xml:space="preserve">Duração</x:t>
        </x:is>
      </x:c>
      <x:c r="D164" s="5" t="s">
        <x:v>16</x:v>
      </x:c>
      <x:c r="E164" s="13"/>
      <x:c r="F164" s="13">
        <x:v>1</x:v>
      </x:c>
      <x:c r="G164" s="13">
        <x:v>2</x:v>
      </x:c>
      <x:c r="H164" s="13">
        <x:v>5</x:v>
      </x:c>
      <x:c r="I164" s="13"/>
      <x:c r="J164" s="13"/>
    </x:row>
    <x:row r="165" ht="21" customHeight="1">
      <x:c r="A165" s="13" t="s">
        <x:v>65</x:v>
      </x:c>
      <x:c r="B165" s="13" t="s">
        <x:v>38</x:v>
      </x:c>
      <x:c r="C165" s="129" t="inlineStr">
        <x:is>
          <x:t xml:space="preserve">Duração</x:t>
        </x:is>
      </x:c>
      <x:c r="D165" s="5" t="s">
        <x:v>18</x:v>
      </x:c>
      <x:c r="E165" s="13"/>
      <x:c r="F165" s="13">
        <x:v>1</x:v>
      </x:c>
      <x:c r="G165" s="13">
        <x:v>3</x:v>
      </x:c>
      <x:c r="H165" s="13">
        <x:v>6</x:v>
      </x:c>
      <x:c r="I165" s="13"/>
      <x:c r="J165" s="13"/>
    </x:row>
    <x:row r="166" ht="21" customHeight="1">
      <x:c r="A166" s="13" t="s">
        <x:v>65</x:v>
      </x:c>
      <x:c r="B166" s="13" t="s">
        <x:v>39</x:v>
      </x:c>
      <x:c r="C166" s="129" t="inlineStr">
        <x:is>
          <x:t xml:space="preserve">Duração</x:t>
        </x:is>
      </x:c>
      <x:c r="D166" s="5" t="s">
        <x:v>21</x:v>
      </x:c>
      <x:c r="E166" s="13"/>
      <x:c r="F166" s="13"/>
      <x:c r="G166" s="13"/>
      <x:c r="H166" s="13"/>
      <x:c r="I166" s="13">
        <x:v>3</x:v>
      </x:c>
      <x:c r="J166" s="13">
        <x:v>1</x:v>
      </x:c>
    </x:row>
    <x:row r="167" ht="21" customHeight="1">
      <x:c r="A167" s="13" t="s">
        <x:v>66</x:v>
      </x:c>
      <x:c r="B167" s="13" t="s">
        <x:v>10</x:v>
      </x:c>
      <x:c r="C167" s="129" t="inlineStr">
        <x:is>
          <x:t xml:space="preserve">Duração</x:t>
        </x:is>
      </x:c>
      <x:c r="D167" s="129" t="inlineStr">
        <x:is>
          <x:t xml:space="preserve">Fixa</x:t>
        </x:is>
      </x:c>
      <x:c r="E167" s="13">
        <x:v>2</x:v>
      </x:c>
      <x:c r="F167" s="13"/>
      <x:c r="G167" s="13"/>
      <x:c r="H167" s="13"/>
      <x:c r="I167" s="13"/>
      <x:c r="J167" s="13"/>
    </x:row>
    <x:row r="168" ht="21" customHeight="1">
      <x:c r="A168" s="13" t="s">
        <x:v>66</x:v>
      </x:c>
      <x:c r="B168" s="13" t="s">
        <x:v>12</x:v>
      </x:c>
      <x:c r="C168" s="129" t="inlineStr">
        <x:is>
          <x:t xml:space="preserve">Duração</x:t>
        </x:is>
      </x:c>
      <x:c r="D168" s="5" t="s">
        <x:v>16</x:v>
      </x:c>
      <x:c r="E168" s="13"/>
      <x:c r="F168" s="13">
        <x:v>1</x:v>
      </x:c>
      <x:c r="G168" s="13">
        <x:v>2</x:v>
      </x:c>
      <x:c r="H168" s="13">
        <x:v>5</x:v>
      </x:c>
      <x:c r="I168" s="13"/>
      <x:c r="J168" s="13"/>
    </x:row>
    <x:row r="169" ht="21" customHeight="1">
      <x:c r="A169" s="13" t="s">
        <x:v>66</x:v>
      </x:c>
      <x:c r="B169" s="13" t="s">
        <x:v>13</x:v>
      </x:c>
      <x:c r="C169" s="129" t="inlineStr">
        <x:is>
          <x:t xml:space="preserve">Duração</x:t>
        </x:is>
      </x:c>
      <x:c r="D169" s="5" t="s">
        <x:v>18</x:v>
      </x:c>
      <x:c r="E169" s="13"/>
      <x:c r="F169" s="13">
        <x:v>1</x:v>
      </x:c>
      <x:c r="G169" s="13">
        <x:v>3</x:v>
      </x:c>
      <x:c r="H169" s="13">
        <x:v>6</x:v>
      </x:c>
      <x:c r="I169" s="13"/>
      <x:c r="J169" s="13"/>
    </x:row>
    <x:row r="170" ht="21" customHeight="1">
      <x:c r="A170" s="13" t="s">
        <x:v>66</x:v>
      </x:c>
      <x:c r="B170" s="13" t="s">
        <x:v>14</x:v>
      </x:c>
      <x:c r="C170" s="129" t="inlineStr">
        <x:is>
          <x:t xml:space="preserve">Duração</x:t>
        </x:is>
      </x:c>
      <x:c r="D170" s="5" t="s">
        <x:v>21</x:v>
      </x:c>
      <x:c r="E170" s="13"/>
      <x:c r="F170" s="13"/>
      <x:c r="G170" s="13"/>
      <x:c r="H170" s="13"/>
      <x:c r="I170" s="13">
        <x:v>3</x:v>
      </x:c>
      <x:c r="J170" s="13">
        <x:v>1</x:v>
      </x:c>
    </x:row>
    <x:row r="171" ht="21" customHeight="1">
      <x:c r="A171" s="13" t="s">
        <x:v>66</x:v>
      </x:c>
      <x:c r="B171" s="13" t="s">
        <x:v>19</x:v>
      </x:c>
      <x:c r="C171" s="129" t="inlineStr">
        <x:is>
          <x:t xml:space="preserve">Duração</x:t>
        </x:is>
      </x:c>
      <x:c r="D171" s="129" t="inlineStr">
        <x:is>
          <x:t xml:space="preserve">Fixa</x:t>
        </x:is>
      </x:c>
      <x:c r="E171" s="13">
        <x:v>2</x:v>
      </x:c>
      <x:c r="F171" s="13"/>
      <x:c r="G171" s="13"/>
      <x:c r="H171" s="13"/>
      <x:c r="I171" s="13"/>
      <x:c r="J171" s="13"/>
    </x:row>
    <x:row r="172" ht="21" customHeight="1">
      <x:c r="A172" s="13" t="s">
        <x:v>66</x:v>
      </x:c>
      <x:c r="B172" s="13" t="s">
        <x:v>22</x:v>
      </x:c>
      <x:c r="C172" s="129" t="inlineStr">
        <x:is>
          <x:t xml:space="preserve">Duração</x:t>
        </x:is>
      </x:c>
      <x:c r="D172" s="5" t="s">
        <x:v>16</x:v>
      </x:c>
      <x:c r="E172" s="13"/>
      <x:c r="F172" s="13">
        <x:v>1</x:v>
      </x:c>
      <x:c r="G172" s="13">
        <x:v>2</x:v>
      </x:c>
      <x:c r="H172" s="13">
        <x:v>5</x:v>
      </x:c>
      <x:c r="I172" s="13"/>
      <x:c r="J172" s="13"/>
    </x:row>
    <x:row r="173" ht="21" customHeight="1">
      <x:c r="A173" s="13" t="s">
        <x:v>66</x:v>
      </x:c>
      <x:c r="B173" s="13" t="s">
        <x:v>23</x:v>
      </x:c>
      <x:c r="C173" s="129" t="inlineStr">
        <x:is>
          <x:t xml:space="preserve">Duração</x:t>
        </x:is>
      </x:c>
      <x:c r="D173" s="5" t="s">
        <x:v>18</x:v>
      </x:c>
      <x:c r="E173" s="13"/>
      <x:c r="F173" s="13">
        <x:v>1</x:v>
      </x:c>
      <x:c r="G173" s="13">
        <x:v>3</x:v>
      </x:c>
      <x:c r="H173" s="13">
        <x:v>6</x:v>
      </x:c>
      <x:c r="I173" s="13"/>
      <x:c r="J173" s="13"/>
    </x:row>
    <x:row r="174" ht="21" customHeight="1">
      <x:c r="A174" s="13" t="s">
        <x:v>66</x:v>
      </x:c>
      <x:c r="B174" s="13" t="s">
        <x:v>24</x:v>
      </x:c>
      <x:c r="C174" s="129" t="inlineStr">
        <x:is>
          <x:t xml:space="preserve">Duração</x:t>
        </x:is>
      </x:c>
      <x:c r="D174" s="5" t="s">
        <x:v>21</x:v>
      </x:c>
      <x:c r="E174" s="13"/>
      <x:c r="F174" s="13"/>
      <x:c r="G174" s="13"/>
      <x:c r="H174" s="13"/>
      <x:c r="I174" s="13">
        <x:v>3</x:v>
      </x:c>
      <x:c r="J174" s="13">
        <x:v>1</x:v>
      </x:c>
    </x:row>
    <x:row r="175" ht="21" customHeight="1">
      <x:c r="A175" s="13" t="s">
        <x:v>66</x:v>
      </x:c>
      <x:c r="B175" s="13" t="s">
        <x:v>31</x:v>
      </x:c>
      <x:c r="C175" s="129" t="inlineStr">
        <x:is>
          <x:t xml:space="preserve">Duração</x:t>
        </x:is>
      </x:c>
      <x:c r="D175" s="129" t="inlineStr">
        <x:is>
          <x:t xml:space="preserve">Fixa</x:t>
        </x:is>
      </x:c>
      <x:c r="E175" s="13">
        <x:v>2</x:v>
      </x:c>
      <x:c r="F175" s="13"/>
      <x:c r="G175" s="13"/>
      <x:c r="H175" s="13"/>
      <x:c r="I175" s="13"/>
      <x:c r="J175" s="13"/>
    </x:row>
    <x:row r="176" ht="21" customHeight="1">
      <x:c r="A176" s="13" t="s">
        <x:v>66</x:v>
      </x:c>
      <x:c r="B176" s="13" t="s">
        <x:v>39</x:v>
      </x:c>
      <x:c r="C176" s="129" t="inlineStr">
        <x:is>
          <x:t xml:space="preserve">Duração</x:t>
        </x:is>
      </x:c>
      <x:c r="D176" s="5" t="s">
        <x:v>16</x:v>
      </x:c>
      <x:c r="E176" s="13"/>
      <x:c r="F176" s="13">
        <x:v>1</x:v>
      </x:c>
      <x:c r="G176" s="13">
        <x:v>2</x:v>
      </x:c>
      <x:c r="H176" s="13">
        <x:v>5</x:v>
      </x:c>
      <x:c r="I176" s="13"/>
      <x:c r="J176" s="13"/>
    </x:row>
    <x:row r="177" ht="21" customHeight="1">
      <x:c r="A177" s="13" t="s">
        <x:v>66</x:v>
      </x:c>
      <x:c r="B177" s="13" t="s">
        <x:v>41</x:v>
      </x:c>
      <x:c r="C177" s="129" t="inlineStr">
        <x:is>
          <x:t xml:space="preserve">Duração</x:t>
        </x:is>
      </x:c>
      <x:c r="D177" s="5" t="s">
        <x:v>18</x:v>
      </x:c>
      <x:c r="E177" s="13"/>
      <x:c r="F177" s="13">
        <x:v>1</x:v>
      </x:c>
      <x:c r="G177" s="13">
        <x:v>3</x:v>
      </x:c>
      <x:c r="H177" s="13">
        <x:v>6</x:v>
      </x:c>
      <x:c r="I177" s="13"/>
      <x:c r="J177" s="13"/>
    </x:row>
    <x:row r="178" ht="21" customHeight="1">
      <x:c r="A178" s="13" t="s">
        <x:v>66</x:v>
      </x:c>
      <x:c r="B178" s="13" t="s">
        <x:v>10</x:v>
      </x:c>
      <x:c r="C178" s="129" t="inlineStr">
        <x:is>
          <x:t xml:space="preserve">Custo</x:t>
        </x:is>
      </x:c>
      <x:c r="D178" s="5" t="s">
        <x:v>21</x:v>
      </x:c>
      <x:c r="E178" s="13"/>
      <x:c r="F178" s="13"/>
      <x:c r="G178" s="13"/>
      <x:c r="H178" s="13"/>
      <x:c r="I178" s="13">
        <x:v>3</x:v>
      </x:c>
      <x:c r="J178" s="13">
        <x:v>1</x:v>
      </x:c>
    </x:row>
    <x:row r="179" ht="21" customHeight="1">
      <x:c r="A179" s="13" t="s">
        <x:v>66</x:v>
      </x:c>
      <x:c r="B179" s="13" t="s">
        <x:v>12</x:v>
      </x:c>
      <x:c r="C179" s="129" t="inlineStr">
        <x:is>
          <x:t xml:space="preserve">Custo</x:t>
        </x:is>
      </x:c>
      <x:c r="D179" s="129" t="inlineStr">
        <x:is>
          <x:t xml:space="preserve">Fixa</x:t>
        </x:is>
      </x:c>
      <x:c r="E179" s="13">
        <x:v>2</x:v>
      </x:c>
      <x:c r="F179" s="13"/>
      <x:c r="G179" s="13"/>
      <x:c r="H179" s="13"/>
      <x:c r="I179" s="13"/>
      <x:c r="J179" s="13"/>
    </x:row>
    <x:row r="180" ht="21" customHeight="1">
      <x:c r="A180" s="13" t="s">
        <x:v>66</x:v>
      </x:c>
      <x:c r="B180" s="13" t="s">
        <x:v>13</x:v>
      </x:c>
      <x:c r="C180" s="129" t="inlineStr">
        <x:is>
          <x:t xml:space="preserve">Custo</x:t>
        </x:is>
      </x:c>
      <x:c r="D180" s="5" t="s">
        <x:v>16</x:v>
      </x:c>
      <x:c r="E180" s="13"/>
      <x:c r="F180" s="13">
        <x:v>1</x:v>
      </x:c>
      <x:c r="G180" s="13">
        <x:v>2</x:v>
      </x:c>
      <x:c r="H180" s="13">
        <x:v>5</x:v>
      </x:c>
      <x:c r="I180" s="13"/>
      <x:c r="J180" s="13"/>
    </x:row>
    <x:row r="181" ht="21" customHeight="1">
      <x:c r="A181" s="13" t="s">
        <x:v>66</x:v>
      </x:c>
      <x:c r="B181" s="13" t="s">
        <x:v>19</x:v>
      </x:c>
      <x:c r="C181" s="129" t="inlineStr">
        <x:is>
          <x:t xml:space="preserve">Custo</x:t>
        </x:is>
      </x:c>
      <x:c r="D181" s="5" t="s">
        <x:v>18</x:v>
      </x:c>
      <x:c r="E181" s="13"/>
      <x:c r="F181" s="13">
        <x:v>1</x:v>
      </x:c>
      <x:c r="G181" s="13">
        <x:v>3</x:v>
      </x:c>
      <x:c r="H181" s="13">
        <x:v>6</x:v>
      </x:c>
      <x:c r="I181" s="13"/>
      <x:c r="J181" s="13"/>
    </x:row>
    <x:row r="182" ht="21" customHeight="1">
      <x:c r="A182" s="13" t="s">
        <x:v>66</x:v>
      </x:c>
      <x:c r="B182" s="13" t="s">
        <x:v>22</x:v>
      </x:c>
      <x:c r="C182" s="129" t="inlineStr">
        <x:is>
          <x:t xml:space="preserve">Custo</x:t>
        </x:is>
      </x:c>
      <x:c r="D182" s="5" t="s">
        <x:v>21</x:v>
      </x:c>
      <x:c r="E182" s="13"/>
      <x:c r="F182" s="13"/>
      <x:c r="G182" s="13"/>
      <x:c r="H182" s="13"/>
      <x:c r="I182" s="13">
        <x:v>3</x:v>
      </x:c>
      <x:c r="J182" s="13">
        <x:v>1</x:v>
      </x:c>
    </x:row>
    <x:row r="183" ht="21" customHeight="1">
      <x:c r="A183" s="13" t="s">
        <x:v>66</x:v>
      </x:c>
      <x:c r="B183" s="13" t="s">
        <x:v>23</x:v>
      </x:c>
      <x:c r="C183" s="129" t="inlineStr">
        <x:is>
          <x:t xml:space="preserve">Custo</x:t>
        </x:is>
      </x:c>
      <x:c r="D183" s="129" t="inlineStr">
        <x:is>
          <x:t xml:space="preserve">Fixa</x:t>
        </x:is>
      </x:c>
      <x:c r="E183" s="13">
        <x:v>2</x:v>
      </x:c>
      <x:c r="F183" s="13"/>
      <x:c r="G183" s="13"/>
      <x:c r="H183" s="13"/>
      <x:c r="I183" s="13"/>
      <x:c r="J183" s="13"/>
    </x:row>
    <x:row r="184" ht="21" customHeight="1">
      <x:c r="A184" s="13" t="s">
        <x:v>66</x:v>
      </x:c>
      <x:c r="B184" s="13" t="s">
        <x:v>31</x:v>
      </x:c>
      <x:c r="C184" s="129" t="inlineStr">
        <x:is>
          <x:t xml:space="preserve">Custo</x:t>
        </x:is>
      </x:c>
      <x:c r="D184" s="5" t="s">
        <x:v>16</x:v>
      </x:c>
      <x:c r="E184" s="13"/>
      <x:c r="F184" s="13">
        <x:v>1</x:v>
      </x:c>
      <x:c r="G184" s="13">
        <x:v>2</x:v>
      </x:c>
      <x:c r="H184" s="13">
        <x:v>5</x:v>
      </x:c>
      <x:c r="I184" s="13"/>
      <x:c r="J184" s="13"/>
    </x:row>
    <x:row r="185" ht="21" customHeight="1">
      <x:c r="A185" s="13" t="s">
        <x:v>66</x:v>
      </x:c>
      <x:c r="B185" s="13" t="s">
        <x:v>39</x:v>
      </x:c>
      <x:c r="C185" s="129" t="inlineStr">
        <x:is>
          <x:t xml:space="preserve">Custo</x:t>
        </x:is>
      </x:c>
      <x:c r="D185" s="5" t="s">
        <x:v>18</x:v>
      </x:c>
      <x:c r="E185" s="13"/>
      <x:c r="F185" s="13">
        <x:v>1</x:v>
      </x:c>
      <x:c r="G185" s="13">
        <x:v>3</x:v>
      </x:c>
      <x:c r="H185" s="13">
        <x:v>6</x:v>
      </x:c>
      <x:c r="I185" s="13"/>
      <x:c r="J185" s="13"/>
    </x:row>
    <x:row r="186" ht="21" customHeight="1">
      <x:c r="A186" s="13" t="s">
        <x:v>67</x:v>
      </x:c>
      <x:c r="B186" s="13" t="s">
        <x:v>14</x:v>
      </x:c>
      <x:c r="C186" s="129" t="inlineStr">
        <x:is>
          <x:t xml:space="preserve">Custo</x:t>
        </x:is>
      </x:c>
      <x:c r="D186" s="5" t="s">
        <x:v>21</x:v>
      </x:c>
      <x:c r="E186" s="13"/>
      <x:c r="F186" s="13"/>
      <x:c r="G186" s="13"/>
      <x:c r="H186" s="13"/>
      <x:c r="I186" s="13">
        <x:v>3</x:v>
      </x:c>
      <x:c r="J186" s="13">
        <x:v>1</x:v>
      </x:c>
    </x:row>
    <x:row r="187" ht="21" customHeight="1">
      <x:c r="A187" s="13" t="s">
        <x:v>67</x:v>
      </x:c>
      <x:c r="B187" s="13" t="s">
        <x:v>19</x:v>
      </x:c>
      <x:c r="C187" s="129" t="inlineStr">
        <x:is>
          <x:t xml:space="preserve">Custo</x:t>
        </x:is>
      </x:c>
      <x:c r="D187" s="129" t="inlineStr">
        <x:is>
          <x:t xml:space="preserve">Fixa</x:t>
        </x:is>
      </x:c>
      <x:c r="E187" s="13">
        <x:v>2</x:v>
      </x:c>
      <x:c r="F187" s="13"/>
      <x:c r="G187" s="13"/>
      <x:c r="H187" s="13"/>
      <x:c r="I187" s="13"/>
      <x:c r="J187" s="13"/>
    </x:row>
    <x:row r="188" ht="21" customHeight="1">
      <x:c r="A188" s="13" t="s">
        <x:v>67</x:v>
      </x:c>
      <x:c r="B188" s="13" t="s">
        <x:v>22</x:v>
      </x:c>
      <x:c r="C188" s="129" t="inlineStr">
        <x:is>
          <x:t xml:space="preserve">Custo</x:t>
        </x:is>
      </x:c>
      <x:c r="D188" s="5" t="s">
        <x:v>16</x:v>
      </x:c>
      <x:c r="E188" s="13"/>
      <x:c r="F188" s="13">
        <x:v>1</x:v>
      </x:c>
      <x:c r="G188" s="13">
        <x:v>2</x:v>
      </x:c>
      <x:c r="H188" s="13">
        <x:v>5</x:v>
      </x:c>
      <x:c r="I188" s="13"/>
      <x:c r="J188" s="13"/>
    </x:row>
    <x:row r="189" ht="21" customHeight="1">
      <x:c r="A189" s="13" t="s">
        <x:v>67</x:v>
      </x:c>
      <x:c r="B189" s="13" t="s">
        <x:v>24</x:v>
      </x:c>
      <x:c r="C189" s="129" t="inlineStr">
        <x:is>
          <x:t xml:space="preserve">Custo</x:t>
        </x:is>
      </x:c>
      <x:c r="D189" s="5" t="s">
        <x:v>18</x:v>
      </x:c>
      <x:c r="E189" s="13"/>
      <x:c r="F189" s="13">
        <x:v>1</x:v>
      </x:c>
      <x:c r="G189" s="13">
        <x:v>3</x:v>
      </x:c>
      <x:c r="H189" s="13">
        <x:v>6</x:v>
      </x:c>
      <x:c r="I189" s="13"/>
      <x:c r="J189" s="13"/>
    </x:row>
    <x:row r="190" ht="21" customHeight="1">
      <x:c r="A190" s="13" t="s">
        <x:v>67</x:v>
      </x:c>
      <x:c r="B190" s="13" t="s">
        <x:v>31</x:v>
      </x:c>
      <x:c r="C190" s="129" t="inlineStr">
        <x:is>
          <x:t xml:space="preserve">Custo</x:t>
        </x:is>
      </x:c>
      <x:c r="D190" s="5" t="s">
        <x:v>21</x:v>
      </x:c>
      <x:c r="E190" s="13"/>
      <x:c r="F190" s="13"/>
      <x:c r="G190" s="13"/>
      <x:c r="H190" s="13"/>
      <x:c r="I190" s="13">
        <x:v>3</x:v>
      </x:c>
      <x:c r="J190" s="13">
        <x:v>1</x:v>
      </x:c>
    </x:row>
    <x:row r="191" ht="21" customHeight="1">
      <x:c r="A191" s="13" t="s">
        <x:v>67</x:v>
      </x:c>
      <x:c r="B191" s="13" t="s">
        <x:v>36</x:v>
      </x:c>
      <x:c r="C191" s="129" t="inlineStr">
        <x:is>
          <x:t xml:space="preserve">Custo</x:t>
        </x:is>
      </x:c>
      <x:c r="D191" s="129" t="inlineStr">
        <x:is>
          <x:t xml:space="preserve">Fixa</x:t>
        </x:is>
      </x:c>
      <x:c r="E191" s="13">
        <x:v>2</x:v>
      </x:c>
      <x:c r="F191" s="13"/>
      <x:c r="G191" s="13"/>
      <x:c r="H191" s="13"/>
      <x:c r="I191" s="13"/>
      <x:c r="J191" s="13"/>
    </x:row>
    <x:row r="192" ht="21" customHeight="1">
      <x:c r="A192" s="13" t="s">
        <x:v>67</x:v>
      </x:c>
      <x:c r="B192" s="13" t="s">
        <x:v>38</x:v>
      </x:c>
      <x:c r="C192" s="129" t="inlineStr">
        <x:is>
          <x:t xml:space="preserve">Custo</x:t>
        </x:is>
      </x:c>
      <x:c r="D192" s="5" t="s">
        <x:v>16</x:v>
      </x:c>
      <x:c r="E192" s="13"/>
      <x:c r="F192" s="13">
        <x:v>1</x:v>
      </x:c>
      <x:c r="G192" s="13">
        <x:v>2</x:v>
      </x:c>
      <x:c r="H192" s="13">
        <x:v>5</x:v>
      </x:c>
      <x:c r="I192" s="13"/>
      <x:c r="J192" s="13"/>
    </x:row>
    <x:row r="193" ht="21" customHeight="1">
      <x:c r="A193" s="13" t="s">
        <x:v>67</x:v>
      </x:c>
      <x:c r="B193" s="13" t="s">
        <x:v>39</x:v>
      </x:c>
      <x:c r="C193" s="129" t="inlineStr">
        <x:is>
          <x:t xml:space="preserve">Custo</x:t>
        </x:is>
      </x:c>
      <x:c r="D193" s="5" t="s">
        <x:v>18</x:v>
      </x:c>
      <x:c r="E193" s="13"/>
      <x:c r="F193" s="13">
        <x:v>1</x:v>
      </x:c>
      <x:c r="G193" s="13">
        <x:v>3</x:v>
      </x:c>
      <x:c r="H193" s="13">
        <x:v>6</x:v>
      </x:c>
      <x:c r="I193" s="13"/>
      <x:c r="J193" s="13"/>
    </x:row>
    <x:row r="194" ht="21" customHeight="1">
      <x:c r="A194" s="13" t="s">
        <x:v>68</x:v>
      </x:c>
      <x:c r="B194" s="13" t="s">
        <x:v>6</x:v>
      </x:c>
      <x:c r="C194" s="129" t="inlineStr">
        <x:is>
          <x:t xml:space="preserve">Duração</x:t>
        </x:is>
      </x:c>
      <x:c r="D194" s="5" t="s">
        <x:v>21</x:v>
      </x:c>
      <x:c r="E194" s="13"/>
      <x:c r="F194" s="13"/>
      <x:c r="G194" s="13"/>
      <x:c r="H194" s="13"/>
      <x:c r="I194" s="13">
        <x:v>3</x:v>
      </x:c>
      <x:c r="J194" s="13">
        <x:v>1</x:v>
      </x:c>
    </x:row>
    <x:row r="195" ht="21" customHeight="1">
      <x:c r="A195" s="13" t="s">
        <x:v>68</x:v>
      </x:c>
      <x:c r="B195" s="13" t="s">
        <x:v>8</x:v>
      </x:c>
      <x:c r="C195" s="129" t="inlineStr">
        <x:is>
          <x:t xml:space="preserve">Duração</x:t>
        </x:is>
      </x:c>
      <x:c r="D195" s="129" t="inlineStr">
        <x:is>
          <x:t xml:space="preserve">Fixa</x:t>
        </x:is>
      </x:c>
      <x:c r="E195" s="13">
        <x:v>2</x:v>
      </x:c>
      <x:c r="F195" s="13"/>
      <x:c r="G195" s="13"/>
      <x:c r="H195" s="13"/>
      <x:c r="I195" s="13"/>
      <x:c r="J195" s="13"/>
    </x:row>
    <x:row r="196" ht="21" customHeight="1">
      <x:c r="A196" s="13" t="s">
        <x:v>68</x:v>
      </x:c>
      <x:c r="B196" s="13" t="s">
        <x:v>14</x:v>
      </x:c>
      <x:c r="C196" s="129" t="inlineStr">
        <x:is>
          <x:t xml:space="preserve">Duração</x:t>
        </x:is>
      </x:c>
      <x:c r="D196" s="5" t="s">
        <x:v>16</x:v>
      </x:c>
      <x:c r="E196" s="13"/>
      <x:c r="F196" s="13">
        <x:v>1</x:v>
      </x:c>
      <x:c r="G196" s="13">
        <x:v>2</x:v>
      </x:c>
      <x:c r="H196" s="13">
        <x:v>5</x:v>
      </x:c>
      <x:c r="I196" s="13"/>
      <x:c r="J196" s="13"/>
    </x:row>
    <x:row r="197" ht="21" customHeight="1">
      <x:c r="A197" s="13" t="s">
        <x:v>68</x:v>
      </x:c>
      <x:c r="B197" s="13" t="s">
        <x:v>30</x:v>
      </x:c>
      <x:c r="C197" s="129" t="inlineStr">
        <x:is>
          <x:t xml:space="preserve">Duração</x:t>
        </x:is>
      </x:c>
      <x:c r="D197" s="5" t="s">
        <x:v>18</x:v>
      </x:c>
      <x:c r="E197" s="13"/>
      <x:c r="F197" s="13">
        <x:v>1</x:v>
      </x:c>
      <x:c r="G197" s="13">
        <x:v>3</x:v>
      </x:c>
      <x:c r="H197" s="13">
        <x:v>6</x:v>
      </x:c>
      <x:c r="I197" s="13"/>
      <x:c r="J197" s="13"/>
    </x:row>
    <x:row r="198" ht="21" customHeight="1">
      <x:c r="A198" s="13" t="s">
        <x:v>68</x:v>
      </x:c>
      <x:c r="B198" s="13" t="s">
        <x:v>41</x:v>
      </x:c>
      <x:c r="C198" s="129" t="inlineStr">
        <x:is>
          <x:t xml:space="preserve">Duração</x:t>
        </x:is>
      </x:c>
      <x:c r="D198" s="5" t="s">
        <x:v>21</x:v>
      </x:c>
      <x:c r="E198" s="13"/>
      <x:c r="F198" s="13"/>
      <x:c r="G198" s="13"/>
      <x:c r="H198" s="13"/>
      <x:c r="I198" s="13">
        <x:v>3</x:v>
      </x:c>
      <x:c r="J198" s="13">
        <x:v>1</x:v>
      </x:c>
    </x:row>
    <x:row r="199" ht="21" customHeight="1">
      <x:c r="A199" s="13" t="s">
        <x:v>68</x:v>
      </x:c>
      <x:c r="B199" s="13" t="s">
        <x:v>42</x:v>
      </x:c>
      <x:c r="C199" s="129" t="inlineStr">
        <x:is>
          <x:t xml:space="preserve">Duração</x:t>
        </x:is>
      </x:c>
      <x:c r="D199" s="129" t="inlineStr">
        <x:is>
          <x:t xml:space="preserve">Fixa</x:t>
        </x:is>
      </x:c>
      <x:c r="E199" s="13">
        <x:v>2</x:v>
      </x:c>
      <x:c r="F199" s="13"/>
      <x:c r="G199" s="13"/>
      <x:c r="H199" s="13"/>
      <x:c r="I199" s="13"/>
      <x:c r="J199" s="13"/>
    </x:row>
    <x:row r="200" ht="21" customHeight="1">
      <x:c r="A200" s="13" t="s">
        <x:v>69</x:v>
      </x:c>
      <x:c r="B200" s="13" t="s">
        <x:v>19</x:v>
      </x:c>
      <x:c r="C200" s="129" t="inlineStr">
        <x:is>
          <x:t xml:space="preserve">Duração</x:t>
        </x:is>
      </x:c>
      <x:c r="D200" s="5" t="s">
        <x:v>16</x:v>
      </x:c>
      <x:c r="E200" s="13"/>
      <x:c r="F200" s="13">
        <x:v>1</x:v>
      </x:c>
      <x:c r="G200" s="13">
        <x:v>2</x:v>
      </x:c>
      <x:c r="H200" s="13">
        <x:v>5</x:v>
      </x:c>
      <x:c r="I200" s="13"/>
      <x:c r="J200" s="13"/>
    </x:row>
    <x:row r="201" ht="21" customHeight="1">
      <x:c r="A201" s="13" t="s">
        <x:v>69</x:v>
      </x:c>
      <x:c r="B201" s="13" t="s">
        <x:v>22</x:v>
      </x:c>
      <x:c r="C201" s="129" t="inlineStr">
        <x:is>
          <x:t xml:space="preserve">Duração</x:t>
        </x:is>
      </x:c>
      <x:c r="D201" s="5" t="s">
        <x:v>18</x:v>
      </x:c>
      <x:c r="E201" s="13"/>
      <x:c r="F201" s="13">
        <x:v>1</x:v>
      </x:c>
      <x:c r="G201" s="13">
        <x:v>3</x:v>
      </x:c>
      <x:c r="H201" s="13">
        <x:v>6</x:v>
      </x:c>
      <x:c r="I201" s="13"/>
      <x:c r="J201" s="13"/>
    </x:row>
    <x:row r="202" ht="21" customHeight="1">
      <x:c r="A202" s="13" t="s">
        <x:v>69</x:v>
      </x:c>
      <x:c r="B202" s="13" t="s">
        <x:v>23</x:v>
      </x:c>
      <x:c r="C202" s="129" t="inlineStr">
        <x:is>
          <x:t xml:space="preserve">Duração</x:t>
        </x:is>
      </x:c>
      <x:c r="D202" s="5" t="s">
        <x:v>21</x:v>
      </x:c>
      <x:c r="E202" s="13"/>
      <x:c r="F202" s="13"/>
      <x:c r="G202" s="13"/>
      <x:c r="H202" s="13"/>
      <x:c r="I202" s="13">
        <x:v>3</x:v>
      </x:c>
      <x:c r="J202" s="13">
        <x:v>1</x:v>
      </x:c>
    </x:row>
    <x:row r="203" ht="21" customHeight="1">
      <x:c r="A203" s="13" t="s">
        <x:v>69</x:v>
      </x:c>
      <x:c r="B203" s="13" t="s">
        <x:v>28</x:v>
      </x:c>
      <x:c r="C203" s="129" t="inlineStr">
        <x:is>
          <x:t xml:space="preserve">Duração</x:t>
        </x:is>
      </x:c>
      <x:c r="D203" s="129" t="inlineStr">
        <x:is>
          <x:t xml:space="preserve">Fixa</x:t>
        </x:is>
      </x:c>
      <x:c r="E203" s="13">
        <x:v>2</x:v>
      </x:c>
      <x:c r="F203" s="13"/>
      <x:c r="G203" s="13"/>
      <x:c r="H203" s="13"/>
      <x:c r="I203" s="13"/>
      <x:c r="J203" s="13"/>
    </x:row>
    <x:row r="204" ht="21" customHeight="1">
      <x:c r="A204" s="13" t="s">
        <x:v>69</x:v>
      </x:c>
      <x:c r="B204" s="13" t="s">
        <x:v>33</x:v>
      </x:c>
      <x:c r="C204" s="129" t="inlineStr">
        <x:is>
          <x:t xml:space="preserve">Duração</x:t>
        </x:is>
      </x:c>
      <x:c r="D204" s="5" t="s">
        <x:v>16</x:v>
      </x:c>
      <x:c r="E204" s="13"/>
      <x:c r="F204" s="13">
        <x:v>1</x:v>
      </x:c>
      <x:c r="G204" s="13">
        <x:v>2</x:v>
      </x:c>
      <x:c r="H204" s="13">
        <x:v>5</x:v>
      </x:c>
      <x:c r="I204" s="13"/>
      <x:c r="J204" s="13"/>
    </x:row>
    <x:row r="205" ht="21" customHeight="1">
      <x:c r="A205" s="13" t="s">
        <x:v>69</x:v>
      </x:c>
      <x:c r="B205" s="13" t="s">
        <x:v>36</x:v>
      </x:c>
      <x:c r="C205" s="129" t="inlineStr">
        <x:is>
          <x:t xml:space="preserve">Duração</x:t>
        </x:is>
      </x:c>
      <x:c r="D205" s="5" t="s">
        <x:v>18</x:v>
      </x:c>
      <x:c r="E205" s="13"/>
      <x:c r="F205" s="13">
        <x:v>1</x:v>
      </x:c>
      <x:c r="G205" s="13">
        <x:v>3</x:v>
      </x:c>
      <x:c r="H205" s="13">
        <x:v>6</x:v>
      </x:c>
      <x:c r="I205" s="13"/>
      <x:c r="J205" s="13"/>
    </x:row>
    <x:row r="206" ht="21" customHeight="1">
      <x:c r="A206" s="13" t="s">
        <x:v>69</x:v>
      </x:c>
      <x:c r="B206" s="13" t="s">
        <x:v>38</x:v>
      </x:c>
      <x:c r="C206" s="129" t="inlineStr">
        <x:is>
          <x:t xml:space="preserve">Duração</x:t>
        </x:is>
      </x:c>
      <x:c r="D206" s="5" t="s">
        <x:v>21</x:v>
      </x:c>
      <x:c r="E206" s="13"/>
      <x:c r="F206" s="13"/>
      <x:c r="G206" s="13"/>
      <x:c r="H206" s="13"/>
      <x:c r="I206" s="13">
        <x:v>3</x:v>
      </x:c>
      <x:c r="J206" s="13">
        <x:v>1</x:v>
      </x:c>
    </x:row>
    <x:row r="207" ht="21" customHeight="1">
      <x:c r="A207" s="13" t="s">
        <x:v>69</x:v>
      </x:c>
      <x:c r="B207" s="13" t="s">
        <x:v>43</x:v>
      </x:c>
      <x:c r="C207" s="129" t="inlineStr">
        <x:is>
          <x:t xml:space="preserve">Duração</x:t>
        </x:is>
      </x:c>
      <x:c r="D207" s="129" t="inlineStr">
        <x:is>
          <x:t xml:space="preserve">Fixa</x:t>
        </x:is>
      </x:c>
      <x:c r="E207" s="13">
        <x:v>2</x:v>
      </x:c>
      <x:c r="F207" s="13"/>
      <x:c r="G207" s="13"/>
      <x:c r="H207" s="13"/>
      <x:c r="I207" s="13"/>
      <x:c r="J207" s="13"/>
    </x:row>
    <x:row r="208" ht="21" customHeight="1">
      <x:c r="A208" s="13" t="s">
        <x:v>69</x:v>
      </x:c>
      <x:c r="B208" s="13" t="s">
        <x:v>19</x:v>
      </x:c>
      <x:c r="C208" s="129" t="inlineStr">
        <x:is>
          <x:t xml:space="preserve">Custo</x:t>
        </x:is>
      </x:c>
      <x:c r="D208" s="5" t="s">
        <x:v>16</x:v>
      </x:c>
      <x:c r="E208" s="13"/>
      <x:c r="F208" s="13">
        <x:v>1</x:v>
      </x:c>
      <x:c r="G208" s="13">
        <x:v>2</x:v>
      </x:c>
      <x:c r="H208" s="13">
        <x:v>5</x:v>
      </x:c>
      <x:c r="I208" s="13"/>
      <x:c r="J208" s="13"/>
    </x:row>
    <x:row r="209" ht="21" customHeight="1">
      <x:c r="A209" s="13" t="s">
        <x:v>69</x:v>
      </x:c>
      <x:c r="B209" s="13" t="s">
        <x:v>22</x:v>
      </x:c>
      <x:c r="C209" s="129" t="inlineStr">
        <x:is>
          <x:t xml:space="preserve">Custo</x:t>
        </x:is>
      </x:c>
      <x:c r="D209" s="5" t="s">
        <x:v>18</x:v>
      </x:c>
      <x:c r="E209" s="13"/>
      <x:c r="F209" s="13">
        <x:v>1</x:v>
      </x:c>
      <x:c r="G209" s="13">
        <x:v>3</x:v>
      </x:c>
      <x:c r="H209" s="13">
        <x:v>6</x:v>
      </x:c>
      <x:c r="I209" s="13"/>
      <x:c r="J209" s="13"/>
    </x:row>
    <x:row r="210" ht="21" customHeight="1">
      <x:c r="A210" s="13" t="s">
        <x:v>69</x:v>
      </x:c>
      <x:c r="B210" s="13" t="s">
        <x:v>23</x:v>
      </x:c>
      <x:c r="C210" s="129" t="inlineStr">
        <x:is>
          <x:t xml:space="preserve">Custo</x:t>
        </x:is>
      </x:c>
      <x:c r="D210" s="5" t="s">
        <x:v>21</x:v>
      </x:c>
      <x:c r="E210" s="13"/>
      <x:c r="F210" s="13"/>
      <x:c r="G210" s="13"/>
      <x:c r="H210" s="13"/>
      <x:c r="I210" s="13">
        <x:v>3</x:v>
      </x:c>
      <x:c r="J210" s="13">
        <x:v>1</x:v>
      </x:c>
    </x:row>
    <x:row r="211" ht="21" customHeight="1">
      <x:c r="A211" s="13" t="s">
        <x:v>69</x:v>
      </x:c>
      <x:c r="B211" s="13" t="s">
        <x:v>33</x:v>
      </x:c>
      <x:c r="C211" s="129" t="inlineStr">
        <x:is>
          <x:t xml:space="preserve">Custo</x:t>
        </x:is>
      </x:c>
      <x:c r="D211" s="129" t="inlineStr">
        <x:is>
          <x:t xml:space="preserve">Fixa</x:t>
        </x:is>
      </x:c>
      <x:c r="E211" s="13">
        <x:v>2</x:v>
      </x:c>
      <x:c r="F211" s="13"/>
      <x:c r="G211" s="13"/>
      <x:c r="H211" s="13"/>
      <x:c r="I211" s="13"/>
      <x:c r="J211" s="13"/>
    </x:row>
    <x:row r="212" ht="21" customHeight="1">
      <x:c r="A212" s="13" t="s">
        <x:v>70</x:v>
      </x:c>
      <x:c r="B212" s="13" t="s">
        <x:v>26</x:v>
      </x:c>
      <x:c r="C212" s="129" t="inlineStr">
        <x:is>
          <x:t xml:space="preserve">Duração</x:t>
        </x:is>
      </x:c>
      <x:c r="D212" s="5" t="s">
        <x:v>16</x:v>
      </x:c>
      <x:c r="E212" s="13"/>
      <x:c r="F212" s="13">
        <x:v>1</x:v>
      </x:c>
      <x:c r="G212" s="13">
        <x:v>2</x:v>
      </x:c>
      <x:c r="H212" s="13">
        <x:v>5</x:v>
      </x:c>
      <x:c r="I212" s="13"/>
      <x:c r="J212" s="13"/>
    </x:row>
    <x:row r="213" ht="21" customHeight="1">
      <x:c r="A213" s="13" t="s">
        <x:v>70</x:v>
      </x:c>
      <x:c r="B213" s="13" t="s">
        <x:v>31</x:v>
      </x:c>
      <x:c r="C213" s="129" t="inlineStr">
        <x:is>
          <x:t xml:space="preserve">Duração</x:t>
        </x:is>
      </x:c>
      <x:c r="D213" s="5" t="s">
        <x:v>18</x:v>
      </x:c>
      <x:c r="E213" s="13"/>
      <x:c r="F213" s="13">
        <x:v>1</x:v>
      </x:c>
      <x:c r="G213" s="13">
        <x:v>3</x:v>
      </x:c>
      <x:c r="H213" s="13">
        <x:v>6</x:v>
      </x:c>
      <x:c r="I213" s="13"/>
      <x:c r="J213" s="13"/>
    </x:row>
    <x:row r="214" ht="21" customHeight="1">
      <x:c r="A214" s="13" t="s">
        <x:v>70</x:v>
      </x:c>
      <x:c r="B214" s="13" t="s">
        <x:v>34</x:v>
      </x:c>
      <x:c r="C214" s="129" t="inlineStr">
        <x:is>
          <x:t xml:space="preserve">Duração</x:t>
        </x:is>
      </x:c>
      <x:c r="D214" s="5" t="s">
        <x:v>21</x:v>
      </x:c>
      <x:c r="E214" s="13"/>
      <x:c r="F214" s="13"/>
      <x:c r="G214" s="13"/>
      <x:c r="H214" s="13"/>
      <x:c r="I214" s="13">
        <x:v>3</x:v>
      </x:c>
      <x:c r="J214" s="13">
        <x:v>1</x:v>
      </x:c>
    </x:row>
    <x:row r="215" ht="21" customHeight="1">
      <x:c r="A215" s="13" t="s">
        <x:v>70</x:v>
      </x:c>
      <x:c r="B215" s="13" t="s">
        <x:v>26</x:v>
      </x:c>
      <x:c r="C215" s="129" t="inlineStr">
        <x:is>
          <x:t xml:space="preserve">Custo</x:t>
        </x:is>
      </x:c>
      <x:c r="D215" s="129" t="inlineStr">
        <x:is>
          <x:t xml:space="preserve">Fixa</x:t>
        </x:is>
      </x:c>
      <x:c r="E215" s="13">
        <x:v>2</x:v>
      </x:c>
      <x:c r="F215" s="13"/>
      <x:c r="G215" s="13"/>
      <x:c r="H215" s="13"/>
      <x:c r="I215" s="13"/>
      <x:c r="J215" s="13"/>
    </x:row>
    <x:row r="216" ht="21" customHeight="1">
      <x:c r="A216" s="13" t="s">
        <x:v>70</x:v>
      </x:c>
      <x:c r="B216" s="13" t="s">
        <x:v>31</x:v>
      </x:c>
      <x:c r="C216" s="129" t="inlineStr">
        <x:is>
          <x:t xml:space="preserve">Custo</x:t>
        </x:is>
      </x:c>
      <x:c r="D216" s="5" t="s">
        <x:v>16</x:v>
      </x:c>
      <x:c r="E216" s="13"/>
      <x:c r="F216" s="13">
        <x:v>1</x:v>
      </x:c>
      <x:c r="G216" s="13">
        <x:v>2</x:v>
      </x:c>
      <x:c r="H216" s="13">
        <x:v>5</x:v>
      </x:c>
      <x:c r="I216" s="13"/>
      <x:c r="J216" s="13"/>
    </x:row>
    <x:row r="217" ht="21" customHeight="1">
      <x:c r="A217" s="13" t="s">
        <x:v>71</x:v>
      </x:c>
      <x:c r="B217" s="13" t="s">
        <x:v>36</x:v>
      </x:c>
      <x:c r="C217" s="129" t="inlineStr">
        <x:is>
          <x:t xml:space="preserve">Duração</x:t>
        </x:is>
      </x:c>
      <x:c r="D217" s="5" t="s">
        <x:v>18</x:v>
      </x:c>
      <x:c r="E217" s="13"/>
      <x:c r="F217" s="13">
        <x:v>1</x:v>
      </x:c>
      <x:c r="G217" s="13">
        <x:v>3</x:v>
      </x:c>
      <x:c r="H217" s="13">
        <x:v>6</x:v>
      </x:c>
      <x:c r="I217" s="13"/>
      <x:c r="J217" s="13"/>
    </x:row>
    <x:row r="218" ht="21" customHeight="1">
      <x:c r="A218" s="13" t="s">
        <x:v>71</x:v>
      </x:c>
      <x:c r="B218" s="13" t="s">
        <x:v>38</x:v>
      </x:c>
      <x:c r="C218" s="129" t="inlineStr">
        <x:is>
          <x:t xml:space="preserve">Duração</x:t>
        </x:is>
      </x:c>
      <x:c r="D218" s="5" t="s">
        <x:v>21</x:v>
      </x:c>
      <x:c r="E218" s="13"/>
      <x:c r="F218" s="13"/>
      <x:c r="G218" s="13"/>
      <x:c r="H218" s="13"/>
      <x:c r="I218" s="13">
        <x:v>3</x:v>
      </x:c>
      <x:c r="J218" s="13">
        <x:v>1</x:v>
      </x:c>
    </x:row>
    <x:row r="219" ht="21" customHeight="1">
      <x:c r="A219" s="13" t="s">
        <x:v>71</x:v>
      </x:c>
      <x:c r="B219" s="13" t="s">
        <x:v>43</x:v>
      </x:c>
      <x:c r="C219" s="129" t="inlineStr">
        <x:is>
          <x:t xml:space="preserve">Duração</x:t>
        </x:is>
      </x:c>
      <x:c r="D219" s="129" t="inlineStr">
        <x:is>
          <x:t xml:space="preserve">Fixa</x:t>
        </x:is>
      </x:c>
      <x:c r="E219" s="13">
        <x:v>2</x:v>
      </x:c>
      <x:c r="F219" s="13"/>
      <x:c r="G219" s="13"/>
      <x:c r="H219" s="13"/>
      <x:c r="I219" s="13"/>
      <x:c r="J219" s="13"/>
    </x:row>
    <x:row r="220" ht="21" customHeight="1">
      <x:c r="A220" s="13" t="s">
        <x:v>71</x:v>
      </x:c>
      <x:c r="B220" s="13" t="s">
        <x:v>45</x:v>
      </x:c>
      <x:c r="C220" s="129" t="inlineStr">
        <x:is>
          <x:t xml:space="preserve">Duração</x:t>
        </x:is>
      </x:c>
      <x:c r="D220" s="5" t="s">
        <x:v>16</x:v>
      </x:c>
      <x:c r="E220" s="13"/>
      <x:c r="F220" s="13">
        <x:v>1</x:v>
      </x:c>
      <x:c r="G220" s="13">
        <x:v>2</x:v>
      </x:c>
      <x:c r="H220" s="13">
        <x:v>5</x:v>
      </x:c>
      <x:c r="I220" s="13"/>
      <x:c r="J220" s="13"/>
    </x:row>
    <x:row r="221" ht="21" customHeight="1">
      <x:c r="A221" s="13" t="s">
        <x:v>71</x:v>
      </x:c>
      <x:c r="B221" s="13" t="s">
        <x:v>36</x:v>
      </x:c>
      <x:c r="C221" s="129" t="inlineStr">
        <x:is>
          <x:t xml:space="preserve">Custo</x:t>
        </x:is>
      </x:c>
      <x:c r="D221" s="5" t="s">
        <x:v>18</x:v>
      </x:c>
      <x:c r="E221" s="13"/>
      <x:c r="F221" s="13">
        <x:v>1</x:v>
      </x:c>
      <x:c r="G221" s="13">
        <x:v>3</x:v>
      </x:c>
      <x:c r="H221" s="13">
        <x:v>6</x:v>
      </x:c>
      <x:c r="I221" s="13"/>
      <x:c r="J221" s="13"/>
    </x:row>
    <x:row r="222" ht="21" customHeight="1">
      <x:c r="A222" s="13" t="s">
        <x:v>71</x:v>
      </x:c>
      <x:c r="B222" s="13" t="s">
        <x:v>38</x:v>
      </x:c>
      <x:c r="C222" s="129" t="inlineStr">
        <x:is>
          <x:t xml:space="preserve">Custo</x:t>
        </x:is>
      </x:c>
      <x:c r="D222" s="5" t="s">
        <x:v>21</x:v>
      </x:c>
      <x:c r="E222" s="13"/>
      <x:c r="F222" s="13"/>
      <x:c r="G222" s="13"/>
      <x:c r="H222" s="13"/>
      <x:c r="I222" s="13">
        <x:v>3</x:v>
      </x:c>
      <x:c r="J222" s="13">
        <x:v>1</x:v>
      </x:c>
    </x:row>
    <x:row r="223" ht="21" customHeight="1">
      <x:c r="A223" s="13" t="s">
        <x:v>71</x:v>
      </x:c>
      <x:c r="B223" s="13" t="s">
        <x:v>43</x:v>
      </x:c>
      <x:c r="C223" s="129" t="inlineStr">
        <x:is>
          <x:t xml:space="preserve">Custo</x:t>
        </x:is>
      </x:c>
      <x:c r="D223" s="129" t="inlineStr">
        <x:is>
          <x:t xml:space="preserve">Fixa</x:t>
        </x:is>
      </x:c>
      <x:c r="E223" s="13">
        <x:v>2</x:v>
      </x:c>
      <x:c r="F223" s="13"/>
      <x:c r="G223" s="13"/>
      <x:c r="H223" s="13"/>
      <x:c r="I223" s="13"/>
      <x:c r="J223" s="13"/>
    </x:row>
    <x:row r="224" ht="21" customHeight="1">
      <x:c r="A224" s="13" t="s">
        <x:v>72</x:v>
      </x:c>
      <x:c r="B224" s="13" t="s">
        <x:v>19</x:v>
      </x:c>
      <x:c r="C224" s="129" t="inlineStr">
        <x:is>
          <x:t xml:space="preserve">Duração</x:t>
        </x:is>
      </x:c>
      <x:c r="D224" s="5" t="s">
        <x:v>16</x:v>
      </x:c>
      <x:c r="E224" s="13"/>
      <x:c r="F224" s="13">
        <x:v>1</x:v>
      </x:c>
      <x:c r="G224" s="13">
        <x:v>2</x:v>
      </x:c>
      <x:c r="H224" s="13">
        <x:v>5</x:v>
      </x:c>
      <x:c r="I224" s="13"/>
      <x:c r="J224" s="13"/>
    </x:row>
    <x:row r="225" ht="21" customHeight="1">
      <x:c r="A225" s="13" t="s">
        <x:v>72</x:v>
      </x:c>
      <x:c r="B225" s="13" t="s">
        <x:v>22</x:v>
      </x:c>
      <x:c r="C225" s="129" t="inlineStr">
        <x:is>
          <x:t xml:space="preserve">Duração</x:t>
        </x:is>
      </x:c>
      <x:c r="D225" s="5" t="s">
        <x:v>18</x:v>
      </x:c>
      <x:c r="E225" s="13"/>
      <x:c r="F225" s="13">
        <x:v>1</x:v>
      </x:c>
      <x:c r="G225" s="13">
        <x:v>3</x:v>
      </x:c>
      <x:c r="H225" s="13">
        <x:v>6</x:v>
      </x:c>
      <x:c r="I225" s="13"/>
      <x:c r="J225" s="13"/>
    </x:row>
    <x:row r="226" ht="21" customHeight="1">
      <x:c r="A226" s="13" t="s">
        <x:v>72</x:v>
      </x:c>
      <x:c r="B226" s="13" t="s">
        <x:v>23</x:v>
      </x:c>
      <x:c r="C226" s="129" t="inlineStr">
        <x:is>
          <x:t xml:space="preserve">Duração</x:t>
        </x:is>
      </x:c>
      <x:c r="D226" s="5" t="s">
        <x:v>21</x:v>
      </x:c>
      <x:c r="E226" s="13"/>
      <x:c r="F226" s="13"/>
      <x:c r="G226" s="13"/>
      <x:c r="H226" s="13"/>
      <x:c r="I226" s="13">
        <x:v>3</x:v>
      </x:c>
      <x:c r="J226" s="13">
        <x:v>1</x:v>
      </x:c>
    </x:row>
    <x:row r="227" ht="21" customHeight="1">
      <x:c r="A227" s="13" t="s">
        <x:v>72</x:v>
      </x:c>
      <x:c r="B227" s="13" t="s">
        <x:v>36</x:v>
      </x:c>
      <x:c r="C227" s="129" t="inlineStr">
        <x:is>
          <x:t xml:space="preserve">Duração</x:t>
        </x:is>
      </x:c>
      <x:c r="D227" s="129" t="inlineStr">
        <x:is>
          <x:t xml:space="preserve">Fixa</x:t>
        </x:is>
      </x:c>
      <x:c r="E227" s="13">
        <x:v>2</x:v>
      </x:c>
      <x:c r="F227" s="13"/>
      <x:c r="G227" s="13"/>
      <x:c r="H227" s="13"/>
      <x:c r="I227" s="13"/>
      <x:c r="J227" s="13"/>
    </x:row>
    <x:row r="228" ht="21" customHeight="1">
      <x:c r="A228" s="13" t="s">
        <x:v>72</x:v>
      </x:c>
      <x:c r="B228" s="13" t="s">
        <x:v>38</x:v>
      </x:c>
      <x:c r="C228" s="129" t="inlineStr">
        <x:is>
          <x:t xml:space="preserve">Duração</x:t>
        </x:is>
      </x:c>
      <x:c r="D228" s="5" t="s">
        <x:v>16</x:v>
      </x:c>
      <x:c r="E228" s="13"/>
      <x:c r="F228" s="13">
        <x:v>1</x:v>
      </x:c>
      <x:c r="G228" s="13">
        <x:v>2</x:v>
      </x:c>
      <x:c r="H228" s="13">
        <x:v>5</x:v>
      </x:c>
      <x:c r="I228" s="13"/>
      <x:c r="J228" s="13"/>
    </x:row>
    <x:row r="229" ht="21" customHeight="1">
      <x:c r="A229" s="13" t="s">
        <x:v>72</x:v>
      </x:c>
      <x:c r="B229" s="13" t="s">
        <x:v>39</x:v>
      </x:c>
      <x:c r="C229" s="129" t="inlineStr">
        <x:is>
          <x:t xml:space="preserve">Duração</x:t>
        </x:is>
      </x:c>
      <x:c r="D229" s="5" t="s">
        <x:v>18</x:v>
      </x:c>
      <x:c r="E229" s="13"/>
      <x:c r="F229" s="13">
        <x:v>1</x:v>
      </x:c>
      <x:c r="G229" s="13">
        <x:v>3</x:v>
      </x:c>
      <x:c r="H229" s="13">
        <x:v>6</x:v>
      </x:c>
      <x:c r="I229" s="13"/>
      <x:c r="J229" s="13"/>
    </x:row>
    <x:row r="230" ht="21" customHeight="1">
      <x:c r="A230" s="13" t="s">
        <x:v>72</x:v>
      </x:c>
      <x:c r="B230" s="13" t="s">
        <x:v>19</x:v>
      </x:c>
      <x:c r="C230" s="129" t="inlineStr">
        <x:is>
          <x:t xml:space="preserve">Custo</x:t>
        </x:is>
      </x:c>
      <x:c r="D230" s="5" t="s">
        <x:v>21</x:v>
      </x:c>
      <x:c r="E230" s="13"/>
      <x:c r="F230" s="13"/>
      <x:c r="G230" s="13"/>
      <x:c r="H230" s="13"/>
      <x:c r="I230" s="13">
        <x:v>3</x:v>
      </x:c>
      <x:c r="J230" s="13">
        <x:v>1</x:v>
      </x:c>
    </x:row>
    <x:row r="231" ht="21" customHeight="1">
      <x:c r="A231" s="13" t="s">
        <x:v>72</x:v>
      </x:c>
      <x:c r="B231" s="13" t="s">
        <x:v>22</x:v>
      </x:c>
      <x:c r="C231" s="129" t="inlineStr">
        <x:is>
          <x:t xml:space="preserve">Custo</x:t>
        </x:is>
      </x:c>
      <x:c r="D231" s="129" t="inlineStr">
        <x:is>
          <x:t xml:space="preserve">Fixa</x:t>
        </x:is>
      </x:c>
      <x:c r="E231" s="13">
        <x:v>2</x:v>
      </x:c>
      <x:c r="F231" s="13"/>
      <x:c r="G231" s="13"/>
      <x:c r="H231" s="13"/>
      <x:c r="I231" s="13"/>
      <x:c r="J231" s="13"/>
    </x:row>
    <x:row r="232" ht="21" customHeight="1">
      <x:c r="A232" s="13" t="s">
        <x:v>72</x:v>
      </x:c>
      <x:c r="B232" s="13" t="s">
        <x:v>23</x:v>
      </x:c>
      <x:c r="C232" s="129" t="inlineStr">
        <x:is>
          <x:t xml:space="preserve">Custo</x:t>
        </x:is>
      </x:c>
      <x:c r="D232" s="5" t="s">
        <x:v>16</x:v>
      </x:c>
      <x:c r="E232" s="13"/>
      <x:c r="F232" s="13">
        <x:v>1</x:v>
      </x:c>
      <x:c r="G232" s="13">
        <x:v>2</x:v>
      </x:c>
      <x:c r="H232" s="13">
        <x:v>5</x:v>
      </x:c>
      <x:c r="I232" s="13"/>
      <x:c r="J232" s="13"/>
    </x:row>
    <x:row r="233" ht="21" customHeight="1">
      <x:c r="A233" s="13" t="s">
        <x:v>72</x:v>
      </x:c>
      <x:c r="B233" s="13" t="s">
        <x:v>39</x:v>
      </x:c>
      <x:c r="C233" s="129" t="inlineStr">
        <x:is>
          <x:t xml:space="preserve">Custo</x:t>
        </x:is>
      </x:c>
      <x:c r="D233" s="5" t="s">
        <x:v>18</x:v>
      </x:c>
      <x:c r="E233" s="13"/>
      <x:c r="F233" s="13">
        <x:v>1</x:v>
      </x:c>
      <x:c r="G233" s="13">
        <x:v>3</x:v>
      </x:c>
      <x:c r="H233" s="13">
        <x:v>6</x:v>
      </x:c>
      <x:c r="I233" s="13"/>
      <x:c r="J233" s="13"/>
    </x:row>
    <x:row r="234" ht="21" customHeight="1">
      <x:c r="A234" s="13" t="s">
        <x:v>73</x:v>
      </x:c>
      <x:c r="B234" s="13" t="s">
        <x:v>10</x:v>
      </x:c>
      <x:c r="C234" s="129" t="inlineStr">
        <x:is>
          <x:t xml:space="preserve">Custo</x:t>
        </x:is>
      </x:c>
      <x:c r="D234" s="5" t="s">
        <x:v>21</x:v>
      </x:c>
      <x:c r="E234" s="13"/>
      <x:c r="F234" s="13"/>
      <x:c r="G234" s="13"/>
      <x:c r="H234" s="13"/>
      <x:c r="I234" s="13">
        <x:v>3</x:v>
      </x:c>
      <x:c r="J234" s="13">
        <x:v>1</x:v>
      </x:c>
    </x:row>
    <x:row r="235" ht="21" customHeight="1">
      <x:c r="A235" s="13" t="s">
        <x:v>73</x:v>
      </x:c>
      <x:c r="B235" s="13" t="s">
        <x:v>12</x:v>
      </x:c>
      <x:c r="C235" s="129" t="inlineStr">
        <x:is>
          <x:t xml:space="preserve">Custo</x:t>
        </x:is>
      </x:c>
      <x:c r="D235" s="129" t="inlineStr">
        <x:is>
          <x:t xml:space="preserve">Fixa</x:t>
        </x:is>
      </x:c>
      <x:c r="E235" s="13">
        <x:v>2</x:v>
      </x:c>
      <x:c r="F235" s="13"/>
      <x:c r="G235" s="13"/>
      <x:c r="H235" s="13"/>
      <x:c r="I235" s="13"/>
      <x:c r="J235" s="13"/>
    </x:row>
    <x:row r="236" ht="21" customHeight="1">
      <x:c r="A236" s="13" t="s">
        <x:v>73</x:v>
      </x:c>
      <x:c r="B236" s="13" t="s">
        <x:v>13</x:v>
      </x:c>
      <x:c r="C236" s="129" t="inlineStr">
        <x:is>
          <x:t xml:space="preserve">Custo</x:t>
        </x:is>
      </x:c>
      <x:c r="D236" s="5" t="s">
        <x:v>16</x:v>
      </x:c>
      <x:c r="E236" s="13"/>
      <x:c r="F236" s="13">
        <x:v>1</x:v>
      </x:c>
      <x:c r="G236" s="13">
        <x:v>2</x:v>
      </x:c>
      <x:c r="H236" s="13">
        <x:v>5</x:v>
      </x:c>
      <x:c r="I236" s="13"/>
      <x:c r="J236" s="13"/>
    </x:row>
    <x:row r="237" ht="21" customHeight="1">
      <x:c r="A237" s="13" t="s">
        <x:v>73</x:v>
      </x:c>
      <x:c r="B237" s="13" t="s">
        <x:v>14</x:v>
      </x:c>
      <x:c r="C237" s="129" t="inlineStr">
        <x:is>
          <x:t xml:space="preserve">Custo</x:t>
        </x:is>
      </x:c>
      <x:c r="D237" s="5" t="s">
        <x:v>18</x:v>
      </x:c>
      <x:c r="E237" s="13"/>
      <x:c r="F237" s="13">
        <x:v>1</x:v>
      </x:c>
      <x:c r="G237" s="13">
        <x:v>3</x:v>
      </x:c>
      <x:c r="H237" s="13">
        <x:v>6</x:v>
      </x:c>
      <x:c r="I237" s="13"/>
      <x:c r="J237" s="13"/>
    </x:row>
    <x:row r="238" ht="21" customHeight="1">
      <x:c r="A238" s="13" t="s">
        <x:v>73</x:v>
      </x:c>
      <x:c r="B238" s="13" t="s">
        <x:v>24</x:v>
      </x:c>
      <x:c r="C238" s="129" t="inlineStr">
        <x:is>
          <x:t xml:space="preserve">Custo</x:t>
        </x:is>
      </x:c>
      <x:c r="D238" s="5" t="s">
        <x:v>21</x:v>
      </x:c>
      <x:c r="E238" s="13"/>
      <x:c r="F238" s="13"/>
      <x:c r="G238" s="13"/>
      <x:c r="H238" s="13"/>
      <x:c r="I238" s="13">
        <x:v>3</x:v>
      </x:c>
      <x:c r="J238" s="13">
        <x:v>1</x:v>
      </x:c>
    </x:row>
    <x:row r="239" ht="21" customHeight="1">
      <x:c r="A239" s="13" t="s">
        <x:v>73</x:v>
      </x:c>
      <x:c r="B239" s="13" t="s">
        <x:v>31</x:v>
      </x:c>
      <x:c r="C239" s="129" t="inlineStr">
        <x:is>
          <x:t xml:space="preserve">Custo</x:t>
        </x:is>
      </x:c>
      <x:c r="D239" s="129" t="inlineStr">
        <x:is>
          <x:t xml:space="preserve">Fixa</x:t>
        </x:is>
      </x:c>
      <x:c r="E239" s="13">
        <x:v>2</x:v>
      </x:c>
      <x:c r="F239" s="13"/>
      <x:c r="G239" s="13"/>
      <x:c r="H239" s="13"/>
      <x:c r="I239" s="13"/>
      <x:c r="J239" s="13"/>
    </x:row>
    <x:row r="240" ht="21" customHeight="1">
      <x:c r="A240" s="13" t="s">
        <x:v>73</x:v>
      </x:c>
      <x:c r="B240" s="13" t="s">
        <x:v>36</x:v>
      </x:c>
      <x:c r="C240" s="129" t="inlineStr">
        <x:is>
          <x:t xml:space="preserve">Custo</x:t>
        </x:is>
      </x:c>
      <x:c r="D240" s="5" t="s">
        <x:v>16</x:v>
      </x:c>
      <x:c r="E240" s="13"/>
      <x:c r="F240" s="13">
        <x:v>1</x:v>
      </x:c>
      <x:c r="G240" s="13">
        <x:v>2</x:v>
      </x:c>
      <x:c r="H240" s="13">
        <x:v>5</x:v>
      </x:c>
      <x:c r="I240" s="13"/>
      <x:c r="J240" s="13"/>
    </x:row>
    <x:row r="241" ht="21" customHeight="1">
      <x:c r="A241" s="13" t="s">
        <x:v>73</x:v>
      </x:c>
      <x:c r="B241" s="13" t="s">
        <x:v>38</x:v>
      </x:c>
      <x:c r="C241" s="129" t="inlineStr">
        <x:is>
          <x:t xml:space="preserve">Custo</x:t>
        </x:is>
      </x:c>
      <x:c r="D241" s="5" t="s">
        <x:v>18</x:v>
      </x:c>
      <x:c r="E241" s="13"/>
      <x:c r="F241" s="13">
        <x:v>1</x:v>
      </x:c>
      <x:c r="G241" s="13">
        <x:v>3</x:v>
      </x:c>
      <x:c r="H241" s="13">
        <x:v>6</x:v>
      </x:c>
      <x:c r="I241" s="13"/>
      <x:c r="J241" s="13"/>
    </x:row>
    <x:row r="242" ht="21" customHeight="1">
      <x:c r="A242" s="13" t="s">
        <x:v>73</x:v>
      </x:c>
      <x:c r="B242" s="13" t="s">
        <x:v>39</x:v>
      </x:c>
      <x:c r="C242" s="129" t="inlineStr">
        <x:is>
          <x:t xml:space="preserve">Custo</x:t>
        </x:is>
      </x:c>
      <x:c r="D242" s="5" t="s">
        <x:v>21</x:v>
      </x:c>
      <x:c r="E242" s="13"/>
      <x:c r="F242" s="13"/>
      <x:c r="G242" s="13"/>
      <x:c r="H242" s="13"/>
      <x:c r="I242" s="13">
        <x:v>3</x:v>
      </x:c>
      <x:c r="J242" s="13">
        <x:v>1</x:v>
      </x:c>
    </x:row>
    <x:row r="243" ht="21" customHeight="1">
      <x:c r="A243" s="13" t="s">
        <x:v>74</x:v>
      </x:c>
      <x:c r="B243" s="13" t="s">
        <x:v>15</x:v>
      </x:c>
      <x:c r="C243" s="129" t="inlineStr">
        <x:is>
          <x:t xml:space="preserve">Duração</x:t>
        </x:is>
      </x:c>
      <x:c r="D243" s="129" t="inlineStr">
        <x:is>
          <x:t xml:space="preserve">Fixa</x:t>
        </x:is>
      </x:c>
      <x:c r="E243" s="13">
        <x:v>2</x:v>
      </x:c>
      <x:c r="F243" s="13"/>
      <x:c r="G243" s="13"/>
      <x:c r="H243" s="13"/>
      <x:c r="I243" s="13"/>
      <x:c r="J243" s="13"/>
    </x:row>
    <x:row r="244" ht="21" customHeight="1">
      <x:c r="A244" s="13" t="s">
        <x:v>74</x:v>
      </x:c>
      <x:c r="B244" s="13" t="s">
        <x:v>17</x:v>
      </x:c>
      <x:c r="C244" s="129" t="inlineStr">
        <x:is>
          <x:t xml:space="preserve">Duração</x:t>
        </x:is>
      </x:c>
      <x:c r="D244" s="5" t="s">
        <x:v>16</x:v>
      </x:c>
      <x:c r="E244" s="13"/>
      <x:c r="F244" s="13">
        <x:v>1</x:v>
      </x:c>
      <x:c r="G244" s="13">
        <x:v>2</x:v>
      </x:c>
      <x:c r="H244" s="13">
        <x:v>5</x:v>
      </x:c>
      <x:c r="I244" s="13"/>
      <x:c r="J244" s="13"/>
    </x:row>
    <x:row r="245" ht="21" customHeight="1">
      <x:c r="A245" s="13" t="s">
        <x:v>74</x:v>
      </x:c>
      <x:c r="B245" s="13" t="s">
        <x:v>19</x:v>
      </x:c>
      <x:c r="C245" s="129" t="inlineStr">
        <x:is>
          <x:t xml:space="preserve">Duração</x:t>
        </x:is>
      </x:c>
      <x:c r="D245" s="5" t="s">
        <x:v>18</x:v>
      </x:c>
      <x:c r="E245" s="13"/>
      <x:c r="F245" s="13">
        <x:v>1</x:v>
      </x:c>
      <x:c r="G245" s="13">
        <x:v>3</x:v>
      </x:c>
      <x:c r="H245" s="13">
        <x:v>6</x:v>
      </x:c>
      <x:c r="I245" s="13"/>
      <x:c r="J245" s="13"/>
    </x:row>
    <x:row r="246" ht="21" customHeight="1">
      <x:c r="A246" s="13" t="s">
        <x:v>74</x:v>
      </x:c>
      <x:c r="B246" s="13" t="s">
        <x:v>22</x:v>
      </x:c>
      <x:c r="C246" s="129" t="inlineStr">
        <x:is>
          <x:t xml:space="preserve">Duração</x:t>
        </x:is>
      </x:c>
      <x:c r="D246" s="5" t="s">
        <x:v>21</x:v>
      </x:c>
      <x:c r="E246" s="13"/>
      <x:c r="F246" s="13"/>
      <x:c r="G246" s="13"/>
      <x:c r="H246" s="13"/>
      <x:c r="I246" s="13">
        <x:v>3</x:v>
      </x:c>
      <x:c r="J246" s="13">
        <x:v>1</x:v>
      </x:c>
    </x:row>
    <x:row r="247" ht="21" customHeight="1">
      <x:c r="A247" s="13" t="s">
        <x:v>74</x:v>
      </x:c>
      <x:c r="B247" s="13" t="s">
        <x:v>23</x:v>
      </x:c>
      <x:c r="C247" s="129" t="inlineStr">
        <x:is>
          <x:t xml:space="preserve">Duração</x:t>
        </x:is>
      </x:c>
      <x:c r="D247" s="129" t="inlineStr">
        <x:is>
          <x:t xml:space="preserve">Fixa</x:t>
        </x:is>
      </x:c>
      <x:c r="E247" s="13">
        <x:v>2</x:v>
      </x:c>
      <x:c r="F247" s="13"/>
      <x:c r="G247" s="13"/>
      <x:c r="H247" s="13"/>
      <x:c r="I247" s="13"/>
      <x:c r="J247" s="13"/>
    </x:row>
    <x:row r="248" ht="21" customHeight="1">
      <x:c r="A248" s="13" t="s">
        <x:v>74</x:v>
      </x:c>
      <x:c r="B248" s="13" t="s">
        <x:v>28</x:v>
      </x:c>
      <x:c r="C248" s="129" t="inlineStr">
        <x:is>
          <x:t xml:space="preserve">Duração</x:t>
        </x:is>
      </x:c>
      <x:c r="D248" s="5" t="s">
        <x:v>16</x:v>
      </x:c>
      <x:c r="E248" s="13"/>
      <x:c r="F248" s="13">
        <x:v>1</x:v>
      </x:c>
      <x:c r="G248" s="13">
        <x:v>2</x:v>
      </x:c>
      <x:c r="H248" s="13">
        <x:v>5</x:v>
      </x:c>
      <x:c r="I248" s="13"/>
      <x:c r="J248" s="13"/>
    </x:row>
    <x:row r="249" ht="21" customHeight="1">
      <x:c r="A249" s="13" t="s">
        <x:v>74</x:v>
      </x:c>
      <x:c r="B249" s="13" t="s">
        <x:v>31</x:v>
      </x:c>
      <x:c r="C249" s="129" t="inlineStr">
        <x:is>
          <x:t xml:space="preserve">Duração</x:t>
        </x:is>
      </x:c>
      <x:c r="D249" s="5" t="s">
        <x:v>18</x:v>
      </x:c>
      <x:c r="E249" s="13"/>
      <x:c r="F249" s="13">
        <x:v>1</x:v>
      </x:c>
      <x:c r="G249" s="13">
        <x:v>3</x:v>
      </x:c>
      <x:c r="H249" s="13">
        <x:v>6</x:v>
      </x:c>
      <x:c r="I249" s="13"/>
      <x:c r="J249" s="13"/>
    </x:row>
    <x:row r="250" ht="21" customHeight="1">
      <x:c r="A250" s="13" t="s">
        <x:v>74</x:v>
      </x:c>
      <x:c r="B250" s="13" t="s">
        <x:v>33</x:v>
      </x:c>
      <x:c r="C250" s="129" t="inlineStr">
        <x:is>
          <x:t xml:space="preserve">Duração</x:t>
        </x:is>
      </x:c>
      <x:c r="D250" s="5" t="s">
        <x:v>21</x:v>
      </x:c>
      <x:c r="E250" s="13"/>
      <x:c r="F250" s="13"/>
      <x:c r="G250" s="13"/>
      <x:c r="H250" s="13"/>
      <x:c r="I250" s="13">
        <x:v>3</x:v>
      </x:c>
      <x:c r="J250" s="13">
        <x:v>1</x:v>
      </x:c>
    </x:row>
    <x:row r="251" ht="21" customHeight="1">
      <x:c r="A251" s="13" t="s">
        <x:v>74</x:v>
      </x:c>
      <x:c r="B251" s="13" t="s">
        <x:v>34</x:v>
      </x:c>
      <x:c r="C251" s="129" t="inlineStr">
        <x:is>
          <x:t xml:space="preserve">Duração</x:t>
        </x:is>
      </x:c>
      <x:c r="D251" s="129" t="inlineStr">
        <x:is>
          <x:t xml:space="preserve">Fixa</x:t>
        </x:is>
      </x:c>
      <x:c r="E251" s="13">
        <x:v>2</x:v>
      </x:c>
      <x:c r="F251" s="13"/>
      <x:c r="G251" s="13"/>
      <x:c r="H251" s="13"/>
      <x:c r="I251" s="13"/>
      <x:c r="J251" s="13"/>
    </x:row>
    <x:row r="252" ht="21" customHeight="1">
      <x:c r="A252" s="13" t="s">
        <x:v>74</x:v>
      </x:c>
      <x:c r="B252" s="13" t="s">
        <x:v>39</x:v>
      </x:c>
      <x:c r="C252" s="129" t="inlineStr">
        <x:is>
          <x:t xml:space="preserve">Duração</x:t>
        </x:is>
      </x:c>
      <x:c r="D252" s="5" t="s">
        <x:v>16</x:v>
      </x:c>
      <x:c r="E252" s="13"/>
      <x:c r="F252" s="13">
        <x:v>1</x:v>
      </x:c>
      <x:c r="G252" s="13">
        <x:v>2</x:v>
      </x:c>
      <x:c r="H252" s="13">
        <x:v>5</x:v>
      </x:c>
      <x:c r="I252" s="13"/>
      <x:c r="J252" s="13"/>
    </x:row>
    <x:row r="253" ht="21" customHeight="1">
      <x:c r="A253" s="13" t="s">
        <x:v>74</x:v>
      </x:c>
      <x:c r="B253" s="13" t="s">
        <x:v>19</x:v>
      </x:c>
      <x:c r="C253" s="129" t="inlineStr">
        <x:is>
          <x:t xml:space="preserve">Custo</x:t>
        </x:is>
      </x:c>
      <x:c r="D253" s="5" t="s">
        <x:v>18</x:v>
      </x:c>
      <x:c r="E253" s="13"/>
      <x:c r="F253" s="13">
        <x:v>1</x:v>
      </x:c>
      <x:c r="G253" s="13">
        <x:v>3</x:v>
      </x:c>
      <x:c r="H253" s="13">
        <x:v>6</x:v>
      </x:c>
      <x:c r="I253" s="13"/>
      <x:c r="J253" s="13"/>
    </x:row>
    <x:row r="254" ht="21" customHeight="1">
      <x:c r="A254" s="13" t="s">
        <x:v>74</x:v>
      </x:c>
      <x:c r="B254" s="13" t="s">
        <x:v>22</x:v>
      </x:c>
      <x:c r="C254" s="129" t="inlineStr">
        <x:is>
          <x:t xml:space="preserve">Custo</x:t>
        </x:is>
      </x:c>
      <x:c r="D254" s="5" t="s">
        <x:v>21</x:v>
      </x:c>
      <x:c r="E254" s="13"/>
      <x:c r="F254" s="13"/>
      <x:c r="G254" s="13"/>
      <x:c r="H254" s="13"/>
      <x:c r="I254" s="13">
        <x:v>3</x:v>
      </x:c>
      <x:c r="J254" s="13">
        <x:v>1</x:v>
      </x:c>
    </x:row>
    <x:row r="255" ht="21" customHeight="1">
      <x:c r="A255" s="13" t="s">
        <x:v>74</x:v>
      </x:c>
      <x:c r="B255" s="13" t="s">
        <x:v>23</x:v>
      </x:c>
      <x:c r="C255" s="129" t="inlineStr">
        <x:is>
          <x:t xml:space="preserve">Custo</x:t>
        </x:is>
      </x:c>
      <x:c r="D255" s="129" t="inlineStr">
        <x:is>
          <x:t xml:space="preserve">Fixa</x:t>
        </x:is>
      </x:c>
      <x:c r="E255" s="13">
        <x:v>2</x:v>
      </x:c>
      <x:c r="F255" s="13"/>
      <x:c r="G255" s="13"/>
      <x:c r="H255" s="13"/>
      <x:c r="I255" s="13"/>
      <x:c r="J255" s="13"/>
    </x:row>
    <x:row r="256" ht="21" customHeight="1">
      <x:c r="A256" s="13" t="s">
        <x:v>74</x:v>
      </x:c>
      <x:c r="B256" s="13" t="s">
        <x:v>31</x:v>
      </x:c>
      <x:c r="C256" s="129" t="inlineStr">
        <x:is>
          <x:t xml:space="preserve">Custo</x:t>
        </x:is>
      </x:c>
      <x:c r="D256" s="5" t="s">
        <x:v>16</x:v>
      </x:c>
      <x:c r="E256" s="13"/>
      <x:c r="F256" s="13">
        <x:v>1</x:v>
      </x:c>
      <x:c r="G256" s="13">
        <x:v>2</x:v>
      </x:c>
      <x:c r="H256" s="13">
        <x:v>5</x:v>
      </x:c>
      <x:c r="I256" s="13"/>
      <x:c r="J256" s="13"/>
    </x:row>
    <x:row r="257" ht="21" customHeight="1">
      <x:c r="A257" s="13" t="s">
        <x:v>74</x:v>
      </x:c>
      <x:c r="B257" s="13" t="s">
        <x:v>39</x:v>
      </x:c>
      <x:c r="C257" s="129" t="inlineStr">
        <x:is>
          <x:t xml:space="preserve">Custo</x:t>
        </x:is>
      </x:c>
      <x:c r="D257" s="5" t="s">
        <x:v>18</x:v>
      </x:c>
      <x:c r="E257" s="13"/>
      <x:c r="F257" s="13">
        <x:v>1</x:v>
      </x:c>
      <x:c r="G257" s="13">
        <x:v>3</x:v>
      </x:c>
      <x:c r="H257" s="13">
        <x:v>6</x:v>
      </x:c>
      <x:c r="I257" s="13"/>
      <x:c r="J257" s="13"/>
    </x:row>
    <x:row r="258" ht="21" customHeight="1">
      <x:c r="A258" s="13" t="s">
        <x:v>75</x:v>
      </x:c>
      <x:c r="B258" s="13" t="s">
        <x:v>47</x:v>
      </x:c>
      <x:c r="C258" s="129" t="inlineStr">
        <x:is>
          <x:t xml:space="preserve">Duração</x:t>
        </x:is>
      </x:c>
      <x:c r="D258" s="5" t="s">
        <x:v>21</x:v>
      </x:c>
      <x:c r="E258" s="13"/>
      <x:c r="F258" s="13"/>
      <x:c r="G258" s="13"/>
      <x:c r="H258" s="13"/>
      <x:c r="I258" s="13">
        <x:v>3</x:v>
      </x:c>
      <x:c r="J258" s="13">
        <x:v>1</x:v>
      </x:c>
    </x:row>
  </x:sheetData>
  <x:mergeCells>
    <x:mergeCell ref="A1:J1"/>
  </x:mergeCells>
  <x:conditionalFormatting sqref="E3:E299">
    <x:cfRule type="expression" dxfId="5" priority="22">
      <x:formula>$D3="Fixa"</x:formula>
    </x:cfRule>
  </x:conditionalFormatting>
  <x:conditionalFormatting sqref="F3:F299">
    <x:cfRule type="expression" dxfId="4" priority="23">
      <x:formula>OR($D3="Triangular",$D3="Beta-PERT",$D3="Uniforme")</x:formula>
    </x:cfRule>
  </x:conditionalFormatting>
  <x:conditionalFormatting sqref="G3:G299">
    <x:cfRule type="expression" dxfId="3" priority="24">
      <x:formula>OR($D3="Triangular",$D3="Beta-PERT")</x:formula>
    </x:cfRule>
  </x:conditionalFormatting>
  <x:conditionalFormatting sqref="H3:H299">
    <x:cfRule type="expression" dxfId="2" priority="25">
      <x:formula>OR($D3="Triangular",$D3="Beta-PERT",$D3="Uniforme")</x:formula>
    </x:cfRule>
  </x:conditionalFormatting>
  <x:conditionalFormatting sqref="I3:I299">
    <x:cfRule type="expression" dxfId="1" priority="26">
      <x:formula>OR($D3="Normal",$D3="Exponencial",$D3="Lognormal",$D3="Gama")</x:formula>
    </x:cfRule>
  </x:conditionalFormatting>
  <x:conditionalFormatting sqref="J3:J299">
    <x:cfRule type="expression" dxfId="1" priority="27">
      <x:formula>OR($D3="Normal",$D3="Lognormal",$D3="Gama")</x:formula>
    </x:cfRule>
  </x:conditionalFormatting>
  <x:dataValidations count="2">
    <x:dataValidation type="list" allowBlank="1" showErrorMessage="1" errorTitle="Invalid input" error="Enter a value from the documented options or range." sqref="C3:C299">
      <x:formula1>"Duração,Custo"</x:formula1>
    </x:dataValidation>
    <x:dataValidation type="list" allowBlank="1" showErrorMessage="1" errorTitle="Invalid input" error="Enter a value from the documented options or range." sqref="D3:D299">
      <x:formula1>"Fixa,Triangular,Beta-PERT,Uniforme,Normal,Exponencial,Lognormal,Gama"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c902721fc54f9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style="9" customWidth="1"/>
    <x:col min="2" max="2" width="10.875" style="9" customWidth="1"/>
    <x:col min="3" max="3" width="17" style="9" customWidth="1"/>
    <x:col min="4" max="4" width="19" style="2" customWidth="1"/>
    <x:col min="5" max="5" width="7.75" style="2" customWidth="1"/>
    <x:col min="6" max="6" width="42" style="2" customWidth="1"/>
    <x:col min="7" max="16384" width="9" style="2" customWidth="0"/>
  </x:cols>
  <x:sheetData>
    <x:row r="1" s="1" customFormat="1" ht="18" customHeight="1">
      <x:c r="A1" s="53" t="inlineStr">
        <x:is>
          <x:t xml:space="preserve">5. Relações opcionais entre riscos — camada avançada/futura</x:t>
        </x:is>
      </x:c>
      <x:c r="B1" s="54"/>
      <x:c r="C1" s="54"/>
      <x:c r="D1" s="54"/>
      <x:c r="E1" s="54"/>
      <x:c r="F1" s="54"/>
    </x:row>
    <x:row r="2" ht="48" customHeight="1">
      <x:c r="A2" s="78" t="inlineStr">
        <x:is>
          <x:t xml:space="preserve">Risco_Origem</x:t>
        </x:is>
      </x:c>
      <x:c r="B2" s="78" t="inlineStr">
        <x:is>
          <x:t xml:space="preserve">Risco_Destino</x:t>
        </x:is>
      </x:c>
      <x:c r="C2" s="78" t="inlineStr">
        <x:is>
          <x:t xml:space="preserve">Tipo_de_Relacao</x:t>
        </x:is>
      </x:c>
      <x:c r="D2" s="78" t="inlineStr">
        <x:is>
          <x:t xml:space="preserve">Parametro_de_Influencia</x:t>
        </x:is>
      </x:c>
      <x:c r="E2" s="78" t="inlineStr">
        <x:is>
          <x:t xml:space="preserve">Ativo</x:t>
        </x:is>
      </x:c>
      <x:c r="F2" s="78" t="inlineStr">
        <x:is>
          <x:t xml:space="preserve">Observacoes</x:t>
        </x:is>
      </x:c>
    </x:row>
    <x:row r="3" ht="51" customHeight="1">
      <x:c r="A3" s="21" t="s">
        <x:v>53</x:v>
      </x:c>
      <x:c r="B3" s="21" t="s">
        <x:v>54</x:v>
      </x:c>
      <x:c r="C3" s="135" t="inlineStr">
        <x:is>
          <x:t xml:space="preserve">Causa/Aumenta</x:t>
        </x:is>
      </x:c>
      <x:c r="D3" s="17"/>
      <x:c r="E3" s="17" t="b">
        <x:v>0</x:v>
      </x:c>
      <x:c r="F3" s="134" t="inlineStr">
        <x:is>
          <x:t xml:space="preserve">Chuvas prolongadas podem aumentar a dificuldade relacionada ao nível d'água e às condições do solo.</x:t>
        </x:is>
      </x:c>
    </x:row>
    <x:row r="4" ht="51" customHeight="1">
      <x:c r="A4" s="21" t="s">
        <x:v>55</x:v>
      </x:c>
      <x:c r="B4" s="21" t="s">
        <x:v>69</x:v>
      </x:c>
      <x:c r="C4" s="135" t="inlineStr">
        <x:is>
          <x:t xml:space="preserve">Causa/Aumenta</x:t>
        </x:is>
      </x:c>
      <x:c r="D4" s="17"/>
      <x:c r="E4" s="17" t="b">
        <x:v>0</x:v>
      </x:c>
      <x:c r="F4" s="134" t="inlineStr">
        <x:is>
          <x:t xml:space="preserve">Alterações tardias de projeto podem aumentar interferências na coordenação MEP.</x:t>
        </x:is>
      </x:c>
    </x:row>
    <x:row r="5" ht="51" customHeight="1">
      <x:c r="A5" s="21" t="s">
        <x:v>57</x:v>
      </x:c>
      <x:c r="B5" s="21" t="s">
        <x:v>61</x:v>
      </x:c>
      <x:c r="C5" s="135" t="inlineStr">
        <x:is>
          <x:t xml:space="preserve">Causa/Aumenta</x:t>
        </x:is>
      </x:c>
      <x:c r="D5" s="17"/>
      <x:c r="E5" s="17" t="b">
        <x:v>0</x:v>
      </x:c>
      <x:c r="F5" s="134" t="inlineStr">
        <x:is>
          <x:t xml:space="preserve">A escassez de mão de obra pode agravar o desempenho de subcontratados.</x:t>
        </x:is>
      </x:c>
    </x:row>
    <x:row r="6" ht="51" customHeight="1">
      <x:c r="A6" s="21" t="s">
        <x:v>61</x:v>
      </x:c>
      <x:c r="B6" s="21" t="s">
        <x:v>62</x:v>
      </x:c>
      <x:c r="C6" s="135" t="inlineStr">
        <x:is>
          <x:t xml:space="preserve">Causa/Aumenta</x:t>
        </x:is>
      </x:c>
      <x:c r="D6" s="17"/>
      <x:c r="E6" s="17" t="b">
        <x:v>0</x:v>
      </x:c>
      <x:c r="F6" s="134" t="inlineStr">
        <x:is>
          <x:t xml:space="preserve">O desempenho insuficiente pode aumentar falhas de qualidade e retrabalho.</x:t>
        </x:is>
      </x:c>
    </x:row>
    <x:row r="7" ht="36" customHeight="1">
      <x:c r="A7" s="21" t="s">
        <x:v>62</x:v>
      </x:c>
      <x:c r="B7" s="21" t="s">
        <x:v>56</x:v>
      </x:c>
      <x:c r="C7" s="135" t="inlineStr">
        <x:is>
          <x:t xml:space="preserve">Causa/Aumenta</x:t>
        </x:is>
      </x:c>
      <x:c r="D7" s="17"/>
      <x:c r="E7" s="17" t="b">
        <x:v>0</x:v>
      </x:c>
      <x:c r="F7" s="134" t="inlineStr">
        <x:is>
          <x:t xml:space="preserve">Serviços não conformes podem atrasar a aceitação em inspeção.</x:t>
        </x:is>
      </x:c>
    </x:row>
    <x:row r="8" ht="51" customHeight="1">
      <x:c r="A8" s="21" t="s">
        <x:v>66</x:v>
      </x:c>
      <x:c r="B8" s="21" t="s">
        <x:v>50</x:v>
      </x:c>
      <x:c r="C8" s="135" t="inlineStr">
        <x:is>
          <x:t xml:space="preserve">Causa/Aumenta</x:t>
        </x:is>
      </x:c>
      <x:c r="D8" s="17"/>
      <x:c r="E8" s="17" t="b">
        <x:v>0</x:v>
      </x:c>
      <x:c r="F8" s="134" t="inlineStr">
        <x:is>
          <x:t xml:space="preserve">Restrições de fluxo de caixa podem atrasar a liberação e a entrega de materiais.</x:t>
        </x:is>
      </x:c>
    </x:row>
    <x:row r="9" ht="51" customHeight="1">
      <x:c r="A9" s="21" t="s">
        <x:v>69</x:v>
      </x:c>
      <x:c r="B9" s="21" t="s">
        <x:v>71</x:v>
      </x:c>
      <x:c r="C9" s="135" t="inlineStr">
        <x:is>
          <x:t xml:space="preserve">Causa/Aumenta</x:t>
        </x:is>
      </x:c>
      <x:c r="D9" s="17"/>
      <x:c r="E9" s="17" t="b">
        <x:v>0</x:v>
      </x:c>
      <x:c r="F9" s="134" t="inlineStr">
        <x:is>
          <x:t xml:space="preserve">Interferências MEP não resolvidas podem aumentar falhas no comissionamento.</x:t>
        </x:is>
      </x:c>
    </x:row>
    <x:row r="10" ht="51" customHeight="1">
      <x:c r="A10" s="21" t="s">
        <x:v>70</x:v>
      </x:c>
      <x:c r="B10" s="21" t="s">
        <x:v>62</x:v>
      </x:c>
      <x:c r="C10" s="135" t="inlineStr">
        <x:is>
          <x:t xml:space="preserve">Associado</x:t>
        </x:is>
      </x:c>
      <x:c r="D10" s="17"/>
      <x:c r="E10" s="17" t="b">
        <x:v>0</x:v>
      </x:c>
      <x:c r="F10" s="134" t="inlineStr">
        <x:is>
          <x:t xml:space="preserve">Falha de impermeabilização é um mecanismo específico de qualidade/retrabalho.</x:t>
        </x:is>
      </x:c>
    </x:row>
    <x:row r="11" ht="51" customHeight="1">
      <x:c r="A11" s="21" t="s">
        <x:v>74</x:v>
      </x:c>
      <x:c r="B11" s="21" t="s">
        <x:v>55</x:v>
      </x:c>
      <x:c r="C11" s="135" t="inlineStr">
        <x:is>
          <x:t xml:space="preserve">Reduz</x:t>
        </x:is>
      </x:c>
      <x:c r="D11" s="17"/>
      <x:c r="E11" s="17" t="b">
        <x:v>0</x:v>
      </x:c>
      <x:c r="F11" s="134" t="inlineStr">
        <x:is>
          <x:t xml:space="preserve">A definição antecipada do projeto técnico pode reduzir alterações tardias.</x:t>
        </x:is>
      </x:c>
    </x:row>
    <x:row r="12" ht="51" customHeight="1">
      <x:c r="A12" s="21" t="s">
        <x:v>72</x:v>
      </x:c>
      <x:c r="B12" s="21" t="s">
        <x:v>57</x:v>
      </x:c>
      <x:c r="C12" s="135" t="inlineStr">
        <x:is>
          <x:t xml:space="preserve">Reduz</x:t>
        </x:is>
      </x:c>
      <x:c r="D12" s="17"/>
      <x:c r="E12" s="17" t="b">
        <x:v>0</x:v>
      </x:c>
      <x:c r="F12" s="134" t="inlineStr">
        <x:is>
          <x:t xml:space="preserve">A pré-fabricação pode reduzir a demanda de mão de obra especializada no canteiro.</x:t>
        </x:is>
      </x:c>
    </x:row>
    <x:row r="13" ht="51" customHeight="1">
      <x:c r="A13" s="21" t="s">
        <x:v>75</x:v>
      </x:c>
      <x:c r="B13" s="21" t="s">
        <x:v>56</x:v>
      </x:c>
      <x:c r="C13" s="135" t="inlineStr">
        <x:is>
          <x:t xml:space="preserve">Reduz</x:t>
        </x:is>
      </x:c>
      <x:c r="D13" s="17"/>
      <x:c r="E13" s="17" t="b">
        <x:v>0</x:v>
      </x:c>
      <x:c r="F13" s="134" t="inlineStr">
        <x:is>
          <x:t xml:space="preserve">A articulação eficaz com o órgão competente pode reduzir atrasos de aprovação.</x:t>
        </x:is>
      </x:c>
    </x:row>
    <x:row r="14">
      <x:c r="A14" s="38"/>
      <x:c r="B14" s="38"/>
      <x:c r="C14" s="38"/>
      <x:c r="D14" s="37"/>
      <x:c r="E14" s="37"/>
      <x:c r="F14" s="37"/>
    </x:row>
    <x:row r="15">
      <x:c r="A15" s="38"/>
      <x:c r="B15" s="38"/>
      <x:c r="C15" s="38"/>
      <x:c r="D15" s="37"/>
      <x:c r="E15" s="37"/>
      <x:c r="F15" s="37"/>
    </x:row>
    <x:row r="16">
      <x:c r="A16" s="38"/>
      <x:c r="B16" s="38"/>
      <x:c r="C16" s="38"/>
      <x:c r="D16" s="37"/>
      <x:c r="E16" s="37"/>
      <x:c r="F16" s="37"/>
    </x:row>
    <x:row r="17">
      <x:c r="A17" s="38"/>
      <x:c r="B17" s="38"/>
      <x:c r="C17" s="38"/>
      <x:c r="D17" s="37"/>
      <x:c r="E17" s="37"/>
      <x:c r="F17" s="37"/>
    </x:row>
    <x:row r="18">
      <x:c r="A18" s="38"/>
      <x:c r="B18" s="38"/>
      <x:c r="C18" s="38"/>
      <x:c r="D18" s="37"/>
      <x:c r="E18" s="37"/>
      <x:c r="F18" s="37"/>
    </x:row>
    <x:row r="19">
      <x:c r="A19" s="38"/>
      <x:c r="B19" s="38"/>
      <x:c r="C19" s="38"/>
      <x:c r="D19" s="37"/>
      <x:c r="E19" s="37"/>
      <x:c r="F19" s="37"/>
    </x:row>
    <x:row r="20">
      <x:c r="A20" s="38"/>
      <x:c r="B20" s="38"/>
      <x:c r="C20" s="38"/>
      <x:c r="D20" s="37"/>
      <x:c r="E20" s="37"/>
      <x:c r="F20" s="37"/>
    </x:row>
    <x:row r="21">
      <x:c r="A21" s="38"/>
      <x:c r="B21" s="38"/>
      <x:c r="C21" s="38"/>
      <x:c r="D21" s="37"/>
      <x:c r="E21" s="37"/>
      <x:c r="F21" s="37"/>
    </x:row>
    <x:row r="22">
      <x:c r="A22" s="38"/>
      <x:c r="B22" s="38"/>
      <x:c r="C22" s="38"/>
      <x:c r="D22" s="37"/>
      <x:c r="E22" s="37"/>
      <x:c r="F22" s="37"/>
    </x:row>
    <x:row r="23">
      <x:c r="A23" s="38"/>
      <x:c r="B23" s="38"/>
      <x:c r="C23" s="38"/>
      <x:c r="D23" s="37"/>
      <x:c r="E23" s="37"/>
      <x:c r="F23" s="37"/>
    </x:row>
    <x:row r="24">
      <x:c r="A24" s="38"/>
      <x:c r="B24" s="38"/>
      <x:c r="C24" s="38"/>
      <x:c r="D24" s="37"/>
      <x:c r="E24" s="37"/>
      <x:c r="F24" s="37"/>
    </x:row>
    <x:row r="25">
      <x:c r="A25" s="38"/>
      <x:c r="B25" s="38"/>
      <x:c r="C25" s="38"/>
      <x:c r="D25" s="37"/>
      <x:c r="E25" s="37"/>
      <x:c r="F25" s="37"/>
    </x:row>
    <x:row r="26">
      <x:c r="A26" s="38"/>
      <x:c r="B26" s="38"/>
      <x:c r="C26" s="38"/>
      <x:c r="D26" s="37"/>
      <x:c r="E26" s="37"/>
      <x:c r="F26" s="37"/>
    </x:row>
    <x:row r="27">
      <x:c r="A27" s="38"/>
      <x:c r="B27" s="38"/>
      <x:c r="C27" s="38"/>
      <x:c r="D27" s="37"/>
      <x:c r="E27" s="37"/>
      <x:c r="F27" s="37"/>
    </x:row>
    <x:row r="28">
      <x:c r="A28" s="38"/>
      <x:c r="B28" s="38"/>
      <x:c r="C28" s="38"/>
      <x:c r="D28" s="37"/>
      <x:c r="E28" s="37"/>
      <x:c r="F28" s="37"/>
    </x:row>
    <x:row r="29">
      <x:c r="A29" s="38"/>
      <x:c r="B29" s="38"/>
      <x:c r="C29" s="38"/>
      <x:c r="D29" s="37"/>
      <x:c r="E29" s="37"/>
      <x:c r="F29" s="37"/>
    </x:row>
    <x:row r="30">
      <x:c r="A30" s="38"/>
      <x:c r="B30" s="38"/>
      <x:c r="C30" s="38"/>
      <x:c r="D30" s="37"/>
      <x:c r="E30" s="37"/>
      <x:c r="F30" s="37"/>
    </x:row>
    <x:row r="31">
      <x:c r="A31" s="38"/>
      <x:c r="B31" s="38"/>
      <x:c r="C31" s="38"/>
      <x:c r="D31" s="37"/>
      <x:c r="E31" s="37"/>
      <x:c r="F31" s="37"/>
    </x:row>
    <x:row r="32">
      <x:c r="A32" s="38"/>
      <x:c r="B32" s="38"/>
      <x:c r="C32" s="38"/>
      <x:c r="D32" s="37"/>
      <x:c r="E32" s="37"/>
      <x:c r="F32" s="37"/>
    </x:row>
    <x:row r="33">
      <x:c r="A33" s="38"/>
      <x:c r="B33" s="38"/>
      <x:c r="C33" s="38"/>
      <x:c r="D33" s="37"/>
      <x:c r="E33" s="37"/>
      <x:c r="F33" s="37"/>
    </x:row>
    <x:row r="34">
      <x:c r="A34" s="38"/>
      <x:c r="B34" s="38"/>
      <x:c r="C34" s="38"/>
      <x:c r="D34" s="37"/>
      <x:c r="E34" s="37"/>
      <x:c r="F34" s="37"/>
    </x:row>
    <x:row r="35">
      <x:c r="A35" s="38"/>
      <x:c r="B35" s="38"/>
      <x:c r="C35" s="38"/>
      <x:c r="D35" s="37"/>
      <x:c r="E35" s="37"/>
      <x:c r="F35" s="37"/>
    </x:row>
    <x:row r="36">
      <x:c r="A36" s="38"/>
      <x:c r="B36" s="38"/>
      <x:c r="C36" s="38"/>
      <x:c r="D36" s="37"/>
      <x:c r="E36" s="37"/>
      <x:c r="F36" s="37"/>
    </x:row>
    <x:row r="37">
      <x:c r="A37" s="38"/>
      <x:c r="B37" s="38"/>
      <x:c r="C37" s="38"/>
      <x:c r="D37" s="37"/>
      <x:c r="E37" s="37"/>
      <x:c r="F37" s="37"/>
    </x:row>
    <x:row r="38">
      <x:c r="A38" s="38"/>
      <x:c r="B38" s="38"/>
      <x:c r="C38" s="38"/>
      <x:c r="D38" s="37"/>
      <x:c r="E38" s="37"/>
      <x:c r="F38" s="37"/>
    </x:row>
    <x:row r="39">
      <x:c r="A39" s="38"/>
      <x:c r="B39" s="38"/>
      <x:c r="C39" s="38"/>
      <x:c r="D39" s="37"/>
      <x:c r="E39" s="37"/>
      <x:c r="F39" s="37"/>
    </x:row>
    <x:row r="40">
      <x:c r="A40" s="38"/>
      <x:c r="B40" s="38"/>
      <x:c r="C40" s="38"/>
      <x:c r="D40" s="37"/>
      <x:c r="E40" s="37"/>
      <x:c r="F40" s="37"/>
    </x:row>
    <x:row r="41">
      <x:c r="A41" s="38"/>
      <x:c r="B41" s="38"/>
      <x:c r="C41" s="38"/>
      <x:c r="D41" s="37"/>
      <x:c r="E41" s="37"/>
      <x:c r="F41" s="37"/>
    </x:row>
    <x:row r="42">
      <x:c r="A42" s="38"/>
      <x:c r="B42" s="38"/>
      <x:c r="C42" s="38"/>
      <x:c r="D42" s="37"/>
      <x:c r="E42" s="37"/>
      <x:c r="F42" s="37"/>
    </x:row>
    <x:row r="43">
      <x:c r="A43" s="38"/>
      <x:c r="B43" s="38"/>
      <x:c r="C43" s="38"/>
      <x:c r="D43" s="37"/>
      <x:c r="E43" s="37"/>
      <x:c r="F43" s="37"/>
    </x:row>
    <x:row r="44">
      <x:c r="A44" s="38"/>
      <x:c r="B44" s="38"/>
      <x:c r="C44" s="38"/>
      <x:c r="D44" s="37"/>
      <x:c r="E44" s="37"/>
      <x:c r="F44" s="37"/>
    </x:row>
    <x:row r="45">
      <x:c r="A45" s="38"/>
      <x:c r="B45" s="38"/>
      <x:c r="C45" s="38"/>
      <x:c r="D45" s="37"/>
      <x:c r="E45" s="37"/>
      <x:c r="F45" s="37"/>
    </x:row>
    <x:row r="46">
      <x:c r="A46" s="38"/>
      <x:c r="B46" s="38"/>
      <x:c r="C46" s="38"/>
      <x:c r="D46" s="37"/>
      <x:c r="E46" s="37"/>
      <x:c r="F46" s="37"/>
    </x:row>
    <x:row r="47">
      <x:c r="A47" s="38"/>
      <x:c r="B47" s="38"/>
      <x:c r="C47" s="38"/>
      <x:c r="D47" s="37"/>
      <x:c r="E47" s="37"/>
      <x:c r="F47" s="37"/>
    </x:row>
    <x:row r="48">
      <x:c r="A48" s="38"/>
      <x:c r="B48" s="38"/>
      <x:c r="C48" s="38"/>
      <x:c r="D48" s="37"/>
      <x:c r="E48" s="37"/>
      <x:c r="F48" s="37"/>
    </x:row>
    <x:row r="49">
      <x:c r="A49" s="38"/>
      <x:c r="B49" s="38"/>
      <x:c r="C49" s="38"/>
      <x:c r="D49" s="37"/>
      <x:c r="E49" s="37"/>
      <x:c r="F49" s="37"/>
    </x:row>
    <x:row r="50">
      <x:c r="A50" s="38"/>
      <x:c r="B50" s="38"/>
      <x:c r="C50" s="38"/>
      <x:c r="D50" s="37"/>
      <x:c r="E50" s="37"/>
      <x:c r="F50" s="37"/>
    </x:row>
    <x:row r="51">
      <x:c r="A51" s="38"/>
      <x:c r="B51" s="38"/>
      <x:c r="C51" s="38"/>
      <x:c r="D51" s="37"/>
      <x:c r="E51" s="37"/>
      <x:c r="F51" s="37"/>
    </x:row>
    <x:row r="52">
      <x:c r="A52" s="38"/>
      <x:c r="B52" s="38"/>
      <x:c r="C52" s="38"/>
      <x:c r="D52" s="37"/>
      <x:c r="E52" s="37"/>
      <x:c r="F52" s="37"/>
    </x:row>
    <x:row r="53">
      <x:c r="A53" s="38"/>
      <x:c r="B53" s="38"/>
      <x:c r="C53" s="38"/>
      <x:c r="D53" s="37"/>
      <x:c r="E53" s="37"/>
      <x:c r="F53" s="37"/>
    </x:row>
    <x:row r="54">
      <x:c r="A54" s="38"/>
      <x:c r="B54" s="38"/>
      <x:c r="C54" s="38"/>
      <x:c r="D54" s="37"/>
      <x:c r="E54" s="37"/>
      <x:c r="F54" s="37"/>
    </x:row>
    <x:row r="55">
      <x:c r="A55" s="38"/>
      <x:c r="B55" s="38"/>
      <x:c r="C55" s="38"/>
      <x:c r="D55" s="37"/>
      <x:c r="E55" s="37"/>
      <x:c r="F55" s="37"/>
    </x:row>
    <x:row r="56">
      <x:c r="A56" s="38"/>
      <x:c r="B56" s="38"/>
      <x:c r="C56" s="38"/>
      <x:c r="D56" s="37"/>
      <x:c r="E56" s="37"/>
      <x:c r="F56" s="37"/>
    </x:row>
    <x:row r="57">
      <x:c r="A57" s="38"/>
      <x:c r="B57" s="38"/>
      <x:c r="C57" s="38"/>
      <x:c r="D57" s="37"/>
      <x:c r="E57" s="37"/>
      <x:c r="F57" s="37"/>
    </x:row>
    <x:row r="58">
      <x:c r="A58" s="38"/>
      <x:c r="B58" s="38"/>
      <x:c r="C58" s="38"/>
      <x:c r="D58" s="37"/>
      <x:c r="E58" s="37"/>
      <x:c r="F58" s="37"/>
    </x:row>
    <x:row r="59">
      <x:c r="A59" s="38"/>
      <x:c r="B59" s="38"/>
      <x:c r="C59" s="38"/>
      <x:c r="D59" s="37"/>
      <x:c r="E59" s="37"/>
      <x:c r="F59" s="37"/>
    </x:row>
    <x:row r="60">
      <x:c r="A60" s="38"/>
      <x:c r="B60" s="38"/>
      <x:c r="C60" s="38"/>
      <x:c r="D60" s="37"/>
      <x:c r="E60" s="37"/>
      <x:c r="F60" s="37"/>
    </x:row>
    <x:row r="61">
      <x:c r="A61" s="38"/>
      <x:c r="B61" s="38"/>
      <x:c r="C61" s="38"/>
      <x:c r="D61" s="37"/>
      <x:c r="E61" s="37"/>
      <x:c r="F61" s="37"/>
    </x:row>
    <x:row r="62">
      <x:c r="A62" s="38"/>
      <x:c r="B62" s="38"/>
      <x:c r="C62" s="38"/>
      <x:c r="D62" s="37"/>
      <x:c r="E62" s="37"/>
      <x:c r="F62" s="37"/>
    </x:row>
    <x:row r="63">
      <x:c r="A63" s="38"/>
      <x:c r="B63" s="38"/>
      <x:c r="C63" s="38"/>
      <x:c r="D63" s="37"/>
      <x:c r="E63" s="37"/>
      <x:c r="F63" s="37"/>
    </x:row>
    <x:row r="64">
      <x:c r="A64" s="38"/>
      <x:c r="B64" s="38"/>
      <x:c r="C64" s="38"/>
      <x:c r="D64" s="37"/>
      <x:c r="E64" s="37"/>
      <x:c r="F64" s="37"/>
    </x:row>
    <x:row r="65">
      <x:c r="A65" s="38"/>
      <x:c r="B65" s="38"/>
      <x:c r="C65" s="38"/>
      <x:c r="D65" s="37"/>
      <x:c r="E65" s="37"/>
      <x:c r="F65" s="37"/>
    </x:row>
    <x:row r="66">
      <x:c r="A66" s="38"/>
      <x:c r="B66" s="38"/>
      <x:c r="C66" s="38"/>
      <x:c r="D66" s="37"/>
      <x:c r="E66" s="37"/>
      <x:c r="F66" s="37"/>
    </x:row>
    <x:row r="67">
      <x:c r="A67" s="38"/>
      <x:c r="B67" s="38"/>
      <x:c r="C67" s="38"/>
      <x:c r="D67" s="37"/>
      <x:c r="E67" s="37"/>
      <x:c r="F67" s="37"/>
    </x:row>
    <x:row r="68">
      <x:c r="A68" s="38"/>
      <x:c r="B68" s="38"/>
      <x:c r="C68" s="38"/>
      <x:c r="D68" s="37"/>
      <x:c r="E68" s="37"/>
      <x:c r="F68" s="37"/>
    </x:row>
    <x:row r="69">
      <x:c r="A69" s="38"/>
      <x:c r="B69" s="38"/>
      <x:c r="C69" s="38"/>
      <x:c r="D69" s="37"/>
      <x:c r="E69" s="37"/>
      <x:c r="F69" s="37"/>
    </x:row>
    <x:row r="70">
      <x:c r="A70" s="38"/>
      <x:c r="B70" s="38"/>
      <x:c r="C70" s="38"/>
      <x:c r="D70" s="37"/>
      <x:c r="E70" s="37"/>
      <x:c r="F70" s="37"/>
    </x:row>
    <x:row r="71">
      <x:c r="A71" s="38"/>
      <x:c r="B71" s="38"/>
      <x:c r="C71" s="38"/>
      <x:c r="D71" s="37"/>
      <x:c r="E71" s="37"/>
      <x:c r="F71" s="37"/>
    </x:row>
    <x:row r="72">
      <x:c r="A72" s="38"/>
      <x:c r="B72" s="38"/>
      <x:c r="C72" s="38"/>
      <x:c r="D72" s="37"/>
      <x:c r="E72" s="37"/>
      <x:c r="F72" s="37"/>
    </x:row>
    <x:row r="73">
      <x:c r="A73" s="38"/>
      <x:c r="B73" s="38"/>
      <x:c r="C73" s="38"/>
      <x:c r="D73" s="37"/>
      <x:c r="E73" s="37"/>
      <x:c r="F73" s="37"/>
    </x:row>
    <x:row r="74">
      <x:c r="A74" s="38"/>
      <x:c r="B74" s="38"/>
      <x:c r="C74" s="38"/>
      <x:c r="D74" s="37"/>
      <x:c r="E74" s="37"/>
      <x:c r="F74" s="37"/>
    </x:row>
    <x:row r="75">
      <x:c r="A75" s="38"/>
      <x:c r="B75" s="38"/>
      <x:c r="C75" s="38"/>
      <x:c r="D75" s="37"/>
      <x:c r="E75" s="37"/>
      <x:c r="F75" s="37"/>
    </x:row>
    <x:row r="76">
      <x:c r="A76" s="38"/>
      <x:c r="B76" s="38"/>
      <x:c r="C76" s="38"/>
      <x:c r="D76" s="37"/>
      <x:c r="E76" s="37"/>
      <x:c r="F76" s="37"/>
    </x:row>
    <x:row r="77">
      <x:c r="A77" s="38"/>
      <x:c r="B77" s="38"/>
      <x:c r="C77" s="38"/>
      <x:c r="D77" s="37"/>
      <x:c r="E77" s="37"/>
      <x:c r="F77" s="37"/>
    </x:row>
    <x:row r="78">
      <x:c r="A78" s="38"/>
      <x:c r="B78" s="38"/>
      <x:c r="C78" s="38"/>
      <x:c r="D78" s="37"/>
      <x:c r="E78" s="37"/>
      <x:c r="F78" s="37"/>
    </x:row>
    <x:row r="79">
      <x:c r="A79" s="38"/>
      <x:c r="B79" s="38"/>
      <x:c r="C79" s="38"/>
      <x:c r="D79" s="37"/>
      <x:c r="E79" s="37"/>
      <x:c r="F79" s="37"/>
    </x:row>
    <x:row r="80">
      <x:c r="A80" s="38"/>
      <x:c r="B80" s="38"/>
      <x:c r="C80" s="38"/>
      <x:c r="D80" s="37"/>
      <x:c r="E80" s="37"/>
      <x:c r="F80" s="37"/>
    </x:row>
    <x:row r="81">
      <x:c r="A81" s="38"/>
      <x:c r="B81" s="38"/>
      <x:c r="C81" s="38"/>
      <x:c r="D81" s="37"/>
      <x:c r="E81" s="37"/>
      <x:c r="F81" s="37"/>
    </x:row>
    <x:row r="82">
      <x:c r="A82" s="38"/>
      <x:c r="B82" s="38"/>
      <x:c r="C82" s="38"/>
      <x:c r="D82" s="37"/>
      <x:c r="E82" s="37"/>
      <x:c r="F82" s="37"/>
    </x:row>
    <x:row r="83">
      <x:c r="A83" s="38"/>
      <x:c r="B83" s="38"/>
      <x:c r="C83" s="38"/>
      <x:c r="D83" s="37"/>
      <x:c r="E83" s="37"/>
      <x:c r="F83" s="37"/>
    </x:row>
    <x:row r="84">
      <x:c r="A84" s="38"/>
      <x:c r="B84" s="38"/>
      <x:c r="C84" s="38"/>
      <x:c r="D84" s="37"/>
      <x:c r="E84" s="37"/>
      <x:c r="F84" s="37"/>
    </x:row>
    <x:row r="85">
      <x:c r="A85" s="38"/>
      <x:c r="B85" s="38"/>
      <x:c r="C85" s="38"/>
      <x:c r="D85" s="37"/>
      <x:c r="E85" s="37"/>
      <x:c r="F85" s="37"/>
    </x:row>
    <x:row r="86">
      <x:c r="A86" s="38"/>
      <x:c r="B86" s="38"/>
      <x:c r="C86" s="38"/>
      <x:c r="D86" s="37"/>
      <x:c r="E86" s="37"/>
      <x:c r="F86" s="37"/>
    </x:row>
    <x:row r="87">
      <x:c r="A87" s="38"/>
      <x:c r="B87" s="38"/>
      <x:c r="C87" s="38"/>
      <x:c r="D87" s="37"/>
      <x:c r="E87" s="37"/>
      <x:c r="F87" s="37"/>
    </x:row>
    <x:row r="88">
      <x:c r="A88" s="38"/>
      <x:c r="B88" s="38"/>
      <x:c r="C88" s="38"/>
      <x:c r="D88" s="37"/>
      <x:c r="E88" s="37"/>
      <x:c r="F88" s="37"/>
    </x:row>
    <x:row r="89">
      <x:c r="A89" s="38"/>
      <x:c r="B89" s="38"/>
      <x:c r="C89" s="38"/>
      <x:c r="D89" s="37"/>
      <x:c r="E89" s="37"/>
      <x:c r="F89" s="37"/>
    </x:row>
    <x:row r="90">
      <x:c r="A90" s="38"/>
      <x:c r="B90" s="38"/>
      <x:c r="C90" s="38"/>
      <x:c r="D90" s="37"/>
      <x:c r="E90" s="37"/>
      <x:c r="F90" s="37"/>
    </x:row>
    <x:row r="91">
      <x:c r="A91" s="38"/>
      <x:c r="B91" s="38"/>
      <x:c r="C91" s="38"/>
      <x:c r="D91" s="37"/>
      <x:c r="E91" s="37"/>
      <x:c r="F91" s="37"/>
    </x:row>
    <x:row r="92">
      <x:c r="A92" s="38"/>
      <x:c r="B92" s="38"/>
      <x:c r="C92" s="38"/>
      <x:c r="D92" s="37"/>
      <x:c r="E92" s="37"/>
      <x:c r="F92" s="37"/>
    </x:row>
    <x:row r="93">
      <x:c r="A93" s="38"/>
      <x:c r="B93" s="38"/>
      <x:c r="C93" s="38"/>
      <x:c r="D93" s="37"/>
      <x:c r="E93" s="37"/>
      <x:c r="F93" s="37"/>
    </x:row>
    <x:row r="94">
      <x:c r="A94" s="38"/>
      <x:c r="B94" s="38"/>
      <x:c r="C94" s="38"/>
      <x:c r="D94" s="37"/>
      <x:c r="E94" s="37"/>
      <x:c r="F94" s="37"/>
    </x:row>
    <x:row r="95">
      <x:c r="A95" s="38"/>
      <x:c r="B95" s="38"/>
      <x:c r="C95" s="38"/>
      <x:c r="D95" s="37"/>
      <x:c r="E95" s="37"/>
      <x:c r="F95" s="37"/>
    </x:row>
    <x:row r="96">
      <x:c r="A96" s="38"/>
      <x:c r="B96" s="38"/>
      <x:c r="C96" s="38"/>
      <x:c r="D96" s="37"/>
      <x:c r="E96" s="37"/>
      <x:c r="F96" s="37"/>
    </x:row>
    <x:row r="97">
      <x:c r="A97" s="38"/>
      <x:c r="B97" s="38"/>
      <x:c r="C97" s="38"/>
      <x:c r="D97" s="37"/>
      <x:c r="E97" s="37"/>
      <x:c r="F97" s="37"/>
    </x:row>
    <x:row r="98">
      <x:c r="A98" s="38"/>
      <x:c r="B98" s="38"/>
      <x:c r="C98" s="38"/>
      <x:c r="D98" s="37"/>
      <x:c r="E98" s="37"/>
      <x:c r="F98" s="37"/>
    </x:row>
    <x:row r="99">
      <x:c r="A99" s="38"/>
      <x:c r="B99" s="38"/>
      <x:c r="C99" s="38"/>
      <x:c r="D99" s="37"/>
      <x:c r="E99" s="37"/>
      <x:c r="F99" s="37"/>
    </x:row>
  </x:sheetData>
  <x:mergeCells>
    <x:mergeCell ref="A1:F1"/>
  </x:mergeCells>
  <x:dataValidations count="2">
    <x:dataValidation type="list" sqref="C3:C99">
      <x:formula1>"Causa,Aumenta a probabilidade,Diminui a probabilidade,Condicional"</x:formula1>
    </x:dataValidation>
    <x:dataValidation type="list" sqref="E3:E99">
      <x:formula1>"verdadeiro,falso"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0d80f2877048d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style="2" customWidth="1"/>
    <x:col min="2" max="2" width="48" style="2" customWidth="1"/>
    <x:col min="3" max="3" width="14" style="9" customWidth="1"/>
    <x:col min="4" max="4" width="40.5" style="9" customWidth="1"/>
    <x:col min="5" max="5" width="20" style="9" customWidth="1"/>
    <x:col min="6" max="16384" width="9" style="2" customWidth="0"/>
  </x:cols>
  <x:sheetData>
    <x:row r="1" s="1" customFormat="1" ht="18" customHeight="1">
      <x:c r="A1" s="53" t="inlineStr">
        <x:is>
          <x:t xml:space="preserve">Especificação de validação</x:t>
        </x:is>
      </x:c>
      <x:c r="B1" s="54"/>
      <x:c r="C1" s="54"/>
      <x:c r="D1" s="54"/>
      <x:c r="E1" s="54"/>
    </x:row>
    <x:row r="2" ht="48" customHeight="1">
      <x:c r="A2" s="67" t="inlineStr">
        <x:is>
          <x:t xml:space="preserve">Área</x:t>
        </x:is>
      </x:c>
      <x:c r="B2" s="67" t="inlineStr">
        <x:is>
          <x:t xml:space="preserve">Regra</x:t>
        </x:is>
      </x:c>
      <x:c r="C2" s="67" t="inlineStr">
        <x:is>
          <x:t xml:space="preserve">Severidade</x:t>
        </x:is>
      </x:c>
      <x:c r="D2" s="67" t="inlineStr">
        <x:is>
          <x:t xml:space="preserve">Mensagem de exemplo</x:t>
        </x:is>
      </x:c>
      <x:c r="E2" s="67" t="inlineStr">
        <x:is>
          <x:t xml:space="preserve">Ação</x:t>
        </x:is>
      </x:c>
    </x:row>
    <x:row r="3" ht="36" customHeight="1">
      <x:c r="A3" s="129" t="inlineStr">
        <x:is>
          <x:t xml:space="preserve">Atividades</x:t>
        </x:is>
      </x:c>
      <x:c r="B3" s="129" t="inlineStr">
        <x:is>
          <x:t xml:space="preserve">O ID da atividade deve ser único e não vazio</x:t>
        </x:is>
      </x:c>
      <x:c r="C3" s="130" t="inlineStr">
        <x:is>
          <x:t xml:space="preserve">Erro</x:t>
        </x:is>
      </x:c>
      <x:c r="D3" s="130" t="inlineStr">
        <x:is>
          <x:t xml:space="preserve">ID da atividade duplicado: A03</x:t>
        </x:is>
      </x:c>
      <x:c r="E3" s="130" t="inlineStr">
        <x:is>
          <x:t xml:space="preserve">Interromper a simulação</x:t>
        </x:is>
      </x:c>
    </x:row>
    <x:row r="4" ht="36" customHeight="1">
      <x:c r="A4" s="129" t="inlineStr">
        <x:is>
          <x:t xml:space="preserve">Rede</x:t>
        </x:is>
      </x:c>
      <x:c r="B4" s="129" t="inlineStr">
        <x:is>
          <x:t xml:space="preserve">Cada predecessora deve fazer referência a um ID de atividade existente</x:t>
        </x:is>
      </x:c>
      <x:c r="C4" s="130" t="inlineStr">
        <x:is>
          <x:t xml:space="preserve">Erro</x:t>
        </x:is>
      </x:c>
      <x:c r="D4" s="130" t="inlineStr">
        <x:is>
          <x:t xml:space="preserve">A07 faz referência à predecessora inexistente A99</x:t>
        </x:is>
      </x:c>
      <x:c r="E4" s="130" t="inlineStr">
        <x:is>
          <x:t xml:space="preserve">Interromper a simulação</x:t>
        </x:is>
      </x:c>
    </x:row>
    <x:row r="5" ht="36" customHeight="1">
      <x:c r="A5" s="129" t="inlineStr">
        <x:is>
          <x:t xml:space="preserve">Rede</x:t>
        </x:is>
      </x:c>
      <x:c r="B5" s="129" t="inlineStr">
        <x:is>
          <x:t xml:space="preserve">A rede deve ser acíclica</x:t>
        </x:is>
      </x:c>
      <x:c r="C5" s="130" t="inlineStr">
        <x:is>
          <x:t xml:space="preserve">Erro</x:t>
        </x:is>
      </x:c>
      <x:c r="D5" s="130" t="inlineStr">
        <x:is>
          <x:t xml:space="preserve">Relação circular detectada</x:t>
        </x:is>
      </x:c>
      <x:c r="E5" s="130" t="inlineStr">
        <x:is>
          <x:t xml:space="preserve">Interromper a simulação</x:t>
        </x:is>
      </x:c>
    </x:row>
    <x:row r="6" ht="36" customHeight="1">
      <x:c r="A6" s="129" t="inlineStr">
        <x:is>
          <x:t xml:space="preserve">Duração</x:t>
        </x:is>
      </x:c>
      <x:c r="B6" s="129" t="inlineStr">
        <x:is>
          <x:t xml:space="preserve">As durações devem ser não negativas</x:t>
        </x:is>
      </x:c>
      <x:c r="C6" s="130" t="inlineStr">
        <x:is>
          <x:t xml:space="preserve">Erro</x:t>
        </x:is>
      </x:c>
      <x:c r="D6" s="130" t="inlineStr">
        <x:is>
          <x:t xml:space="preserve">A04 tem duração negativa</x:t>
        </x:is>
      </x:c>
      <x:c r="E6" s="130" t="inlineStr">
        <x:is>
          <x:t xml:space="preserve">Interromper a simulação</x:t>
        </x:is>
      </x:c>
    </x:row>
    <x:row r="7" ht="36" customHeight="1">
      <x:c r="A7" s="129" t="inlineStr">
        <x:is>
          <x:t xml:space="preserve">Distribuições de três pontos</x:t>
        </x:is>
      </x:c>
      <x:c r="B7" s="129" t="inlineStr">
        <x:is>
          <x:t xml:space="preserve">Mínimo ≤ Mais provável ≤ Máximo</x:t>
        </x:is>
      </x:c>
      <x:c r="C7" s="130" t="inlineStr">
        <x:is>
          <x:t xml:space="preserve">Erro</x:t>
        </x:is>
      </x:c>
      <x:c r="D7" s="130" t="inlineStr">
        <x:is>
          <x:t xml:space="preserve">A07: o valor mais provável (12) excede o máximo (9)</x:t>
        </x:is>
      </x:c>
      <x:c r="E7" s="130" t="inlineStr">
        <x:is>
          <x:t xml:space="preserve">Interromper a simulação</x:t>
        </x:is>
      </x:c>
    </x:row>
    <x:row r="8" ht="36" customHeight="1">
      <x:c r="A8" s="129" t="inlineStr">
        <x:is>
          <x:t xml:space="preserve">Distribuição Normal</x:t>
        </x:is>
      </x:c>
      <x:c r="B8" s="129" t="inlineStr">
        <x:is>
          <x:t xml:space="preserve">Média obrigatória; desvio-padrão deve ser &gt; 0</x:t>
        </x:is>
      </x:c>
      <x:c r="C8" s="130" t="inlineStr">
        <x:is>
          <x:t xml:space="preserve">Erro</x:t>
        </x:is>
      </x:c>
      <x:c r="D8" s="130" t="inlineStr">
        <x:is>
          <x:t xml:space="preserve">A04: o desvio-padrão da distribuição Normal deve ser &gt; 0</x:t>
        </x:is>
      </x:c>
      <x:c r="E8" s="130" t="inlineStr">
        <x:is>
          <x:t xml:space="preserve">Interromper a simulação</x:t>
        </x:is>
      </x:c>
    </x:row>
    <x:row r="9" ht="36" customHeight="1">
      <x:c r="A9" s="129" t="inlineStr">
        <x:is>
          <x:t xml:space="preserve">Risco</x:t>
        </x:is>
      </x:c>
      <x:c r="B9" s="129" t="inlineStr">
        <x:is>
          <x:t xml:space="preserve">O ID do risco deve ser único e não vazio</x:t>
        </x:is>
      </x:c>
      <x:c r="C9" s="130" t="inlineStr">
        <x:is>
          <x:t xml:space="preserve">Erro</x:t>
        </x:is>
      </x:c>
      <x:c r="D9" s="130" t="inlineStr">
        <x:is>
          <x:t xml:space="preserve">ID do risco duplicado: R02</x:t>
        </x:is>
      </x:c>
      <x:c r="E9" s="130" t="inlineStr">
        <x:is>
          <x:t xml:space="preserve">Interromper a simulação</x:t>
        </x:is>
      </x:c>
    </x:row>
    <x:row r="10" ht="36" customHeight="1">
      <x:c r="A10" s="129" t="inlineStr">
        <x:is>
          <x:t xml:space="preserve">Risco</x:t>
        </x:is>
      </x:c>
      <x:c r="B10" s="129" t="inlineStr">
        <x:is>
          <x:t xml:space="preserve">A probabilidade deve estar entre 0 e 1</x:t>
        </x:is>
      </x:c>
      <x:c r="C10" s="130" t="inlineStr">
        <x:is>
          <x:t xml:space="preserve">Erro</x:t>
        </x:is>
      </x:c>
      <x:c r="D10" s="130" t="inlineStr">
        <x:is>
          <x:t xml:space="preserve">Probabilidade de R03 = 1,30</x:t>
        </x:is>
      </x:c>
      <x:c r="E10" s="130" t="inlineStr">
        <x:is>
          <x:t xml:space="preserve">Interromper a simulação</x:t>
        </x:is>
      </x:c>
    </x:row>
    <x:row r="11" ht="36" customHeight="1">
      <x:c r="A11" s="129" t="inlineStr">
        <x:is>
          <x:t xml:space="preserve">Mapeamento</x:t>
        </x:is>
      </x:c>
      <x:c r="B11" s="129" t="inlineStr">
        <x:is>
          <x:t xml:space="preserve">O ID do risco deve existir no Registro_de_Riscos</x:t>
        </x:is>
      </x:c>
      <x:c r="C11" s="130" t="inlineStr">
        <x:is>
          <x:t xml:space="preserve">Erro</x:t>
        </x:is>
      </x:c>
      <x:c r="D11" s="130" t="inlineStr">
        <x:is>
          <x:t xml:space="preserve">O mapeamento faz referência ao risco inexistente R09</x:t>
        </x:is>
      </x:c>
      <x:c r="E11" s="130" t="inlineStr">
        <x:is>
          <x:t xml:space="preserve">Interromper a simulação</x:t>
        </x:is>
      </x:c>
    </x:row>
    <x:row r="12" ht="36" customHeight="1">
      <x:c r="A12" s="129" t="inlineStr">
        <x:is>
          <x:t xml:space="preserve">Mapeamento</x:t>
        </x:is>
      </x:c>
      <x:c r="B12" s="129" t="inlineStr">
        <x:is>
          <x:t xml:space="preserve">O ID da atividade deve existir em Atividades</x:t>
        </x:is>
      </x:c>
      <x:c r="C12" s="130" t="inlineStr">
        <x:is>
          <x:t xml:space="preserve">Erro</x:t>
        </x:is>
      </x:c>
      <x:c r="D12" s="130" t="inlineStr">
        <x:is>
          <x:t xml:space="preserve">R04 está mapeado para a atividade inexistente A18</x:t>
        </x:is>
      </x:c>
      <x:c r="E12" s="130" t="inlineStr">
        <x:is>
          <x:t xml:space="preserve">Interromper a simulação</x:t>
        </x:is>
      </x:c>
    </x:row>
    <x:row r="13" ht="36" customHeight="1">
      <x:c r="A13" s="129" t="inlineStr">
        <x:is>
          <x:t xml:space="preserve">Mapeamento</x:t>
        </x:is>
      </x:c>
      <x:c r="B13" s="129" t="inlineStr">
        <x:is>
          <x:t xml:space="preserve">Os parâmetros de impacto devem corresponder à distribuição selecionada</x:t>
        </x:is>
      </x:c>
      <x:c r="C13" s="130" t="inlineStr">
        <x:is>
          <x:t xml:space="preserve">Erro</x:t>
        </x:is>
      </x:c>
      <x:c r="D13" s="130" t="inlineStr">
        <x:is>
          <x:t xml:space="preserve">R02/A04 sem valor mais provável da distribuição triangular</x:t>
        </x:is>
      </x:c>
      <x:c r="E13" s="130" t="inlineStr">
        <x:is>
          <x:t xml:space="preserve">Interromper a simulação</x:t>
        </x:is>
      </x:c>
    </x:row>
    <x:row r="14" ht="36" customHeight="1">
      <x:c r="A14" s="129" t="inlineStr">
        <x:is>
          <x:t xml:space="preserve">Campos opcionais</x:t>
        </x:is>
      </x:c>
      <x:c r="B14" s="129" t="inlineStr">
        <x:is>
          <x:t xml:space="preserve">Valores opcionais em branco são permitidos</x:t>
        </x:is>
      </x:c>
      <x:c r="C14" s="130" t="inlineStr">
        <x:is>
          <x:t xml:space="preserve">Informação</x:t>
        </x:is>
      </x:c>
      <x:c r="D14" s="130" t="inlineStr">
        <x:is>
          <x:t xml:space="preserve">Responsável não informado para R05</x:t>
        </x:is>
      </x:c>
      <x:c r="E14" s="130" t="inlineStr">
        <x:is>
          <x:t xml:space="preserve">Continuar</x:t>
        </x:is>
      </x:c>
    </x:row>
    <x:row r="15" ht="36" customHeight="1">
      <x:c r="A15" s="129" t="inlineStr">
        <x:is>
          <x:t xml:space="preserve">Entrada de texto</x:t>
        </x:is>
      </x:c>
      <x:c r="B15" s="129" t="inlineStr">
        <x:is>
          <x:t xml:space="preserve">Remover espaços iniciais/finais quando seguro</x:t>
        </x:is>
      </x:c>
      <x:c r="C15" s="130" t="inlineStr">
        <x:is>
          <x:t xml:space="preserve">Informação</x:t>
        </x:is>
      </x:c>
      <x:c r="D15" s="130" t="inlineStr">
        <x:is>
          <x:t xml:space="preserve">' A03 ' normalizado para 'A03'</x:t>
        </x:is>
      </x:c>
      <x:c r="E15" s="130" t="inlineStr">
        <x:is>
          <x:t xml:space="preserve">Normalizar</x:t>
        </x:is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f74b0e30bf74d1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style="2" customWidth="1"/>
    <x:col min="2" max="2" width="25" style="2" customWidth="1"/>
    <x:col min="3" max="3" width="48" style="2" customWidth="1"/>
    <x:col min="4" max="6" width="15" style="2" customWidth="1"/>
    <x:col min="7" max="16384" width="9" style="2" customWidth="0"/>
  </x:cols>
  <x:sheetData>
    <x:row r="1" s="1" customFormat="1" ht="18" customHeight="1">
      <x:c r="A1" s="53" t="inlineStr">
        <x:is>
          <x:t xml:space="preserve">Retrato de riscos — especificação de cenários</x:t>
        </x:is>
      </x:c>
      <x:c r="B1" s="54"/>
      <x:c r="C1" s="54"/>
      <x:c r="D1" s="54"/>
      <x:c r="E1" s="54"/>
      <x:c r="F1" s="54"/>
    </x:row>
    <x:row r="2" ht="48" customHeight="1">
      <x:c r="A2" s="71"/>
      <x:c r="B2" s="71"/>
      <x:c r="C2" s="71"/>
      <x:c r="D2" s="71"/>
      <x:c r="E2" s="71"/>
      <x:c r="F2" s="71"/>
    </x:row>
    <x:row r="3" ht="21" customHeight="1">
      <x:c r="A3" s="141" t="inlineStr">
        <x:is>
          <x:t xml:space="preserve">Cenario</x:t>
        </x:is>
      </x:c>
      <x:c r="B3" s="141" t="inlineStr">
        <x:is>
          <x:t xml:space="preserve">Riscos ativos</x:t>
        </x:is>
      </x:c>
      <x:c r="C3" s="141" t="inlineStr">
        <x:is>
          <x:t xml:space="preserve">Significado</x:t>
        </x:is>
      </x:c>
      <x:c r="D3" s="141" t="inlineStr">
        <x:is>
          <x:t xml:space="preserve">ΔMédia</x:t>
        </x:is>
      </x:c>
      <x:c r="E3" s="4" t="s">
        <x:v>76</x:v>
      </x:c>
      <x:c r="F3" s="4" t="s">
        <x:v>77</x:v>
      </x:c>
    </x:row>
    <x:row r="4" ht="36" customHeight="1">
      <x:c r="A4" s="5" t="s">
        <x:v>78</x:v>
      </x:c>
      <x:c r="B4" s="129" t="inlineStr">
        <x:is>
          <x:t xml:space="preserve">Nenhum</x:t>
        </x:is>
      </x:c>
      <x:c r="C4" s="129" t="inlineStr">
        <x:is>
          <x:t xml:space="preserve">Somente incerteza das atividades; nenhum risco discreto testado</x:t>
        </x:is>
      </x:c>
      <x:c r="D4" s="5"/>
      <x:c r="E4" s="5"/>
      <x:c r="F4" s="5"/>
    </x:row>
    <x:row r="5" ht="21" customHeight="1">
      <x:c r="A5" s="5" t="s">
        <x:v>79</x:v>
      </x:c>
      <x:c r="B5" s="5" t="s">
        <x:v>80</x:v>
      </x:c>
      <x:c r="C5" s="129" t="inlineStr">
        <x:is>
          <x:t xml:space="preserve">Risco selecionado com maior importância</x:t>
        </x:is>
      </x:c>
      <x:c r="D5" s="5"/>
      <x:c r="E5" s="5"/>
      <x:c r="F5" s="5"/>
    </x:row>
    <x:row r="6" ht="36" customHeight="1">
      <x:c r="A6" s="5" t="s">
        <x:v>81</x:v>
      </x:c>
      <x:c r="B6" s="5" t="s">
        <x:v>82</x:v>
      </x:c>
      <x:c r="C6" s="129" t="inlineStr">
        <x:is>
          <x:t xml:space="preserve">Adição cumulativa do segundo risco mais importante</x:t>
        </x:is>
      </x:c>
      <x:c r="D6" s="5"/>
      <x:c r="E6" s="5"/>
      <x:c r="F6" s="5"/>
    </x:row>
    <x:row r="7" ht="36" customHeight="1">
      <x:c r="A7" s="5" t="s">
        <x:v>83</x:v>
      </x:c>
      <x:c r="B7" s="5" t="s">
        <x:v>84</x:v>
      </x:c>
      <x:c r="C7" s="129" t="inlineStr">
        <x:is>
          <x:t xml:space="preserve">Adição cumulativa do terceiro risco mais importante</x:t>
        </x:is>
      </x:c>
      <x:c r="D7" s="5"/>
      <x:c r="E7" s="5"/>
      <x:c r="F7" s="5"/>
    </x:row>
    <x:row r="8" ht="36" customHeight="1">
      <x:c r="A8" s="5" t="s">
        <x:v>85</x:v>
      </x:c>
      <x:c r="B8" s="129" t="inlineStr">
        <x:is>
          <x:t xml:space="preserve">Os 5 riscos ativos mais importantes</x:t>
        </x:is>
      </x:c>
      <x:c r="C8" s="129" t="inlineStr">
        <x:is>
          <x:t xml:space="preserve">Exposição concentrada de alta prioridade</x:t>
        </x:is>
      </x:c>
      <x:c r="D8" s="5"/>
      <x:c r="E8" s="5"/>
      <x:c r="F8" s="5"/>
    </x:row>
    <x:row r="9" ht="36" customHeight="1">
      <x:c r="A9" s="5" t="s">
        <x:v>86</x:v>
      </x:c>
      <x:c r="B9" s="129" t="inlineStr">
        <x:is>
          <x:t xml:space="preserve">Todos os riscos ativos</x:t>
        </x:is>
      </x:c>
      <x:c r="C9" s="129" t="inlineStr">
        <x:is>
          <x:t xml:space="preserve">Exposição total do projeto aos riscos</x:t>
        </x:is>
      </x:c>
      <x:c r="D9" s="5"/>
      <x:c r="E9" s="5"/>
      <x:c r="F9" s="5"/>
    </x:row>
    <x:row r="10" ht="21" customHeight="1">
      <x:c r="A10" s="142" t="inlineStr">
        <x:is>
          <x:t xml:space="preserve">Interpretação</x:t>
        </x:is>
      </x:c>
      <x:c r="B10" s="58"/>
      <x:c r="C10" s="58"/>
      <x:c r="D10" s="58"/>
      <x:c r="E10" s="58"/>
      <x:c r="F10" s="58"/>
    </x:row>
    <x:row r="11" ht="21" customHeight="1">
      <x:c r="A11" s="142" t="inlineStr">
        <x:is>
          <x:t xml:space="preserve">Controle da simulação</x:t>
        </x:is>
      </x:c>
      <x:c r="B11" s="58"/>
      <x:c r="C11" s="58"/>
      <x:c r="D11" s="58"/>
      <x:c r="E11" s="58"/>
      <x:c r="F11" s="58"/>
    </x:row>
  </x:sheetData>
  <x:mergeCells>
    <x:mergeCell ref="A11:F11"/>
    <x:mergeCell ref="A1:F1"/>
    <x:mergeCell ref="A10:F1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9.875" style="2" customWidth="1"/>
    <x:col min="2" max="2" width="30" style="2" customWidth="1"/>
    <x:col min="3" max="3" width="9" style="2" customWidth="0"/>
    <x:col min="4" max="4" width="19.5" style="9" customWidth="1"/>
    <x:col min="5" max="5" width="22" style="2" customWidth="1"/>
    <x:col min="6" max="6" width="61.875" style="2" customWidth="1"/>
    <x:col min="7" max="16384" width="9" style="2" customWidth="0"/>
  </x:cols>
  <x:sheetData>
    <x:row r="1" s="1" customFormat="1" ht="24" customHeight="1">
      <x:c r="A1" s="59" t="inlineStr">
        <x:is>
          <x:t xml:space="preserve">Caso demonstrativo de construção residencial V2.2</x:t>
        </x:is>
      </x:c>
      <x:c r="B1" s="54"/>
      <x:c r="C1" s="54"/>
      <x:c r="D1" s="54"/>
      <x:c r="E1" s="54"/>
      <x:c r="F1" s="54"/>
    </x:row>
    <x:row r="2" ht="48" customHeight="1">
      <x:c r="A2" s="78" t="inlineStr">
        <x:is>
          <x:t xml:space="preserve">Característica do caso</x:t>
        </x:is>
      </x:c>
      <x:c r="B2" s="78" t="inlineStr">
        <x:is>
          <x:t xml:space="preserve">Representação</x:t>
        </x:is>
      </x:c>
      <x:c r="C2" s="68"/>
      <x:c r="D2" s="78" t="inlineStr">
        <x:is>
          <x:t xml:space="preserve">Dimensão de ensino</x:t>
        </x:is>
      </x:c>
      <x:c r="E2" s="78" t="inlineStr">
        <x:is>
          <x:t xml:space="preserve">Opções demonstradas</x:t>
        </x:is>
      </x:c>
      <x:c r="F2" s="78" t="inlineStr">
        <x:is>
          <x:t xml:space="preserve">Interpretação</x:t>
        </x:is>
      </x:c>
    </x:row>
    <x:row r="3" ht="36" customHeight="1">
      <x:c r="A3" s="129" t="inlineStr">
        <x:is>
          <x:t xml:space="preserve">Atividades</x:t>
        </x:is>
      </x:c>
      <x:c r="B3" s="129" t="inlineStr">
        <x:is>
          <x:t xml:space="preserve">30 atividades de construção interligadas</x:t>
        </x:is>
      </x:c>
      <x:c r="C3" s="5"/>
      <x:c r="D3" s="130" t="inlineStr">
        <x:is>
          <x:t xml:space="preserve">Abrangencia</x:t>
        </x:is>
      </x:c>
      <x:c r="E3" s="5" t="s">
        <x:v>87</x:v>
      </x:c>
      <x:c r="F3" s="129" t="inlineStr">
        <x:is>
          <x:t xml:space="preserve">Local pode afetar uma ou várias atividades mapeadas; Global abrange o projeto inteiro.</x:t>
        </x:is>
      </x:c>
    </x:row>
    <x:row r="4" ht="36" customHeight="1">
      <x:c r="A4" s="129" t="inlineStr">
        <x:is>
          <x:t xml:space="preserve">Riscos</x:t>
        </x:is>
      </x:c>
      <x:c r="B4" s="129" t="inlineStr">
        <x:is>
          <x:t xml:space="preserve">24 riscos: ameaças e oportunidades</x:t>
        </x:is>
      </x:c>
      <x:c r="C4" s="5"/>
      <x:c r="D4" s="130" t="inlineStr">
        <x:is>
          <x:t xml:space="preserve">Tipo de risco</x:t>
        </x:is>
      </x:c>
      <x:c r="E4" s="129" t="inlineStr">
        <x:is>
          <x:t xml:space="preserve">Ameaça / Oportunidade</x:t>
        </x:is>
      </x:c>
      <x:c r="F4" s="129" t="inlineStr">
        <x:is>
          <x:t xml:space="preserve">Permite incertezas adversas e benéficas.</x:t>
        </x:is>
      </x:c>
    </x:row>
    <x:row r="5" ht="36" customHeight="1">
      <x:c r="A5" s="129" t="inlineStr">
        <x:is>
          <x:t xml:space="preserve">Abrangencia</x:t>
        </x:is>
      </x:c>
      <x:c r="B5" s="129" t="inlineStr">
        <x:is>
          <x:t xml:space="preserve">Somente Local e Global</x:t>
        </x:is>
      </x:c>
      <x:c r="C5" s="5"/>
      <x:c r="D5" s="130" t="inlineStr">
        <x:is>
          <x:t xml:space="preserve">Dimensão do impacto</x:t>
        </x:is>
      </x:c>
      <x:c r="E5" s="129" t="inlineStr">
        <x:is>
          <x:t xml:space="preserve">Duração / Custo / Ambos</x:t>
        </x:is>
      </x:c>
      <x:c r="F5" s="129" t="inlineStr">
        <x:is>
          <x:t xml:space="preserve">Demonstra efeitos sobre prazo, custo e ambos.</x:t>
        </x:is>
      </x:c>
    </x:row>
    <x:row r="6" ht="51" customHeight="1">
      <x:c r="A6" s="129" t="inlineStr">
        <x:is>
          <x:t xml:space="preserve">Distribuições das atividades</x:t>
        </x:is>
      </x:c>
      <x:c r="B6" s="129" t="inlineStr">
        <x:is>
          <x:t xml:space="preserve">Fixa, Triangular, Beta-PERT, Normal</x:t>
        </x:is>
      </x:c>
      <x:c r="C6" s="5"/>
      <x:c r="D6" s="130" t="inlineStr">
        <x:is>
          <x:t xml:space="preserve">Situacao</x:t>
        </x:is>
      </x:c>
      <x:c r="E6" s="129" t="inlineStr">
        <x:is>
          <x:t xml:space="preserve">Aberto / Em monitoramento / Encerrado</x:t>
        </x:is>
      </x:c>
      <x:c r="F6" s="129" t="inlineStr">
        <x:is>
          <x:t xml:space="preserve">Mostra diferentes situações do ciclo de vida dos riscos.</x:t>
        </x:is>
      </x:c>
    </x:row>
    <x:row r="7" ht="36" customHeight="1">
      <x:c r="A7" s="129" t="inlineStr">
        <x:is>
          <x:t xml:space="preserve">Distribuições dos riscos</x:t>
        </x:is>
      </x:c>
      <x:c r="B7" s="129" t="inlineStr">
        <x:is>
          <x:t xml:space="preserve">Fixa, Triangular, Beta-PERT, Normal</x:t>
        </x:is>
      </x:c>
      <x:c r="C7" s="5"/>
      <x:c r="D7" s="130" t="inlineStr">
        <x:is>
          <x:t xml:space="preserve">Incerteza das atividades</x:t>
        </x:is>
      </x:c>
      <x:c r="E7" s="129" t="inlineStr">
        <x:is>
          <x:t xml:space="preserve">4 distribuições</x:t>
        </x:is>
      </x:c>
      <x:c r="F7" s="129" t="inlineStr">
        <x:is>
          <x:t xml:space="preserve">Uso equilibrado nas 30 atividades.</x:t>
        </x:is>
      </x:c>
    </x:row>
    <x:row r="8" ht="36" customHeight="1">
      <x:c r="A8" s="129" t="inlineStr">
        <x:is>
          <x:t xml:space="preserve">Respostas a ameaças</x:t>
        </x:is>
      </x:c>
      <x:c r="B8" s="129" t="inlineStr">
        <x:is>
          <x:t xml:space="preserve">Evitar, Mitigar, Transferir, Aceitar</x:t>
        </x:is>
      </x:c>
      <x:c r="C8" s="5"/>
      <x:c r="D8" s="130" t="inlineStr">
        <x:is>
          <x:t xml:space="preserve">Resposta aos riscos</x:t>
        </x:is>
      </x:c>
      <x:c r="E8" s="129" t="inlineStr">
        <x:is>
          <x:t xml:space="preserve">7 estratégias de resposta</x:t>
        </x:is>
      </x:c>
      <x:c r="F8" s="129" t="inlineStr">
        <x:is>
          <x:t xml:space="preserve">São representadas estratégias para ameaças e oportunidades.</x:t>
        </x:is>
      </x:c>
    </x:row>
    <x:row r="9" ht="36" customHeight="1">
      <x:c r="A9" s="129" t="inlineStr">
        <x:is>
          <x:t xml:space="preserve">Respostas a oportunidades</x:t>
        </x:is>
      </x:c>
      <x:c r="B9" s="129" t="inlineStr">
        <x:is>
          <x:t xml:space="preserve">Explorar, Melhorar, Compartilhar, Aceitar</x:t>
        </x:is>
      </x:c>
      <x:c r="C9" s="5"/>
      <x:c r="D9" s="130" t="inlineStr">
        <x:is>
          <x:t xml:space="preserve">Relações</x:t>
        </x:is>
      </x:c>
      <x:c r="E9" s="129" t="inlineStr">
        <x:is>
          <x:t xml:space="preserve">Exemplos inativos incluídos</x:t>
        </x:is>
      </x:c>
      <x:c r="F9" s="129" t="inlineStr">
        <x:is>
          <x:t xml:space="preserve">Camada de dependências disponível sem incluí-la na execução básica.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33.375" style="2" customWidth="1"/>
    <x:col min="2" max="2" width="52.75" style="2" customWidth="1"/>
    <x:col min="3" max="16384" width="9" style="2" customWidth="0"/>
  </x:cols>
  <x:sheetData>
    <x:row r="1" ht="20.25" customHeight="1">
      <x:c r="A1" s="60" t="inlineStr">
        <x:is>
          <x:t xml:space="preserve">Referência de categorias de risco do projeto</x:t>
        </x:is>
      </x:c>
      <x:c r="B1" s="61"/>
    </x:row>
    <x:row r="2" ht="48" customHeight="1">
      <x:c r="A2" s="102" t="inlineStr">
        <x:is>
          <x:t xml:space="preserve">Categoria</x:t>
        </x:is>
      </x:c>
      <x:c r="B2" s="102" t="inlineStr">
        <x:is>
          <x:t xml:space="preserve">Definicao</x:t>
        </x:is>
      </x:c>
    </x:row>
    <x:row r="3" ht="36" customHeight="1">
      <x:c r="A3" s="143" t="inlineStr">
        <x:is>
          <x:t xml:space="preserve">Comercial</x:t>
        </x:is>
      </x:c>
      <x:c r="B3" s="143" t="inlineStr">
        <x:is>
          <x:t xml:space="preserve">Condições contratuais, pleitos, preços e acordos comerciais.</x:t>
        </x:is>
      </x:c>
    </x:row>
    <x:row r="4" ht="36" customHeight="1">
      <x:c r="A4" s="143" t="inlineStr">
        <x:is>
          <x:t xml:space="preserve">Empreiteiro</x:t>
        </x:is>
      </x:c>
      <x:c r="B4" s="143" t="inlineStr">
        <x:is>
          <x:t xml:space="preserve">Capacidade e desempenho de entrega de empreiteiros ou subempreiteiros.</x:t>
        </x:is>
      </x:c>
    </x:row>
    <x:row r="5" ht="36" customHeight="1">
      <x:c r="A5" s="143" t="inlineStr">
        <x:is>
          <x:t xml:space="preserve">Coordenação</x:t>
        </x:is>
      </x:c>
      <x:c r="B5" s="143" t="inlineStr">
        <x:is>
          <x:t xml:space="preserve">Interfaces, comunicação e alinhamento entre participantes do projeto.</x:t>
        </x:is>
      </x:c>
    </x:row>
    <x:row r="6" ht="36" customHeight="1">
      <x:c r="A6" s="143" t="inlineStr">
        <x:is>
          <x:t xml:space="preserve">Projeto técnico</x:t>
        </x:is>
      </x:c>
      <x:c r="B6" s="143" t="inlineStr">
        <x:is>
          <x:t xml:space="preserve">Completude, mudanças, erros e decisões de projetos técnicos.</x:t>
        </x:is>
      </x:c>
    </x:row>
    <x:row r="7" ht="36" customHeight="1">
      <x:c r="A7" s="143" t="inlineStr">
        <x:is>
          <x:t xml:space="preserve">Ambiental</x:t>
        </x:is>
      </x:c>
      <x:c r="B7" s="143" t="inlineStr">
        <x:is>
          <x:t xml:space="preserve">Clima, condições ambientais e restrições ambientais.</x:t>
        </x:is>
      </x:c>
    </x:row>
    <x:row r="8" ht="36" customHeight="1">
      <x:c r="A8" s="143" t="inlineStr">
        <x:is>
          <x:t xml:space="preserve">Equipamentos</x:t>
        </x:is>
      </x:c>
      <x:c r="B8" s="143" t="inlineStr">
        <x:is>
          <x:t xml:space="preserve">Disponibilidade, confiabilidade e desempenho dos equipamentos.</x:t>
        </x:is>
      </x:c>
    </x:row>
    <x:row r="9" ht="36" customHeight="1">
      <x:c r="A9" s="143" t="inlineStr">
        <x:is>
          <x:t xml:space="preserve">Financeiro</x:t>
        </x:is>
      </x:c>
      <x:c r="B9" s="143" t="inlineStr">
        <x:is>
          <x:t xml:space="preserve">Financiamento, fluxo de caixa e acesso a recursos financeiros.</x:t>
        </x:is>
      </x:c>
    </x:row>
    <x:row r="10" ht="36" customHeight="1">
      <x:c r="A10" s="143" t="inlineStr">
        <x:is>
          <x:t xml:space="preserve">Geotécnico</x:t>
        </x:is>
      </x:c>
      <x:c r="B10" s="143" t="inlineStr">
        <x:is>
          <x:t xml:space="preserve">Solo, água subterrânea e condições do subsolo.</x:t>
        </x:is>
      </x:c>
    </x:row>
    <x:row r="11" ht="36" customHeight="1">
      <x:c r="A11" s="143" t="inlineStr">
        <x:is>
          <x:t xml:space="preserve">SSMA</x:t>
        </x:is>
      </x:c>
      <x:c r="B11" s="143" t="inlineStr">
        <x:is>
          <x:t xml:space="preserve">Saúde, segurança e proteção ambiental durante os trabalhos.</x:t>
        </x:is>
      </x:c>
    </x:row>
    <x:row r="12" ht="36" customHeight="1">
      <x:c r="A12" s="143" t="inlineStr">
        <x:is>
          <x:t xml:space="preserve">Inovação</x:t>
        </x:is>
      </x:c>
      <x:c r="B12" s="143" t="inlineStr">
        <x:is>
          <x:t xml:space="preserve">Novos métodos, tecnologias e oportunidades de melhoria da execução.</x:t>
        </x:is>
      </x:c>
    </x:row>
    <x:row r="13" ht="36" customHeight="1">
      <x:c r="A13" s="143" t="inlineStr">
        <x:is>
          <x:t xml:space="preserve">Operacional</x:t>
        </x:is>
      </x:c>
      <x:c r="B13" s="143" t="inlineStr">
        <x:is>
          <x:t xml:space="preserve">Processos executivos, sequenciamento dos trabalhos e operações do canteiro.</x:t>
        </x:is>
      </x:c>
    </x:row>
    <x:row r="14" ht="36" customHeight="1">
      <x:c r="A14" s="143" t="inlineStr">
        <x:is>
          <x:t xml:space="preserve">Qualidade</x:t>
        </x:is>
      </x:c>
      <x:c r="B14" s="143" t="inlineStr">
        <x:is>
          <x:t xml:space="preserve">Conformidade, defeitos, inspeção e retrabalho.</x:t>
        </x:is>
      </x:c>
    </x:row>
    <x:row r="15" ht="36" customHeight="1">
      <x:c r="A15" s="143" t="inlineStr">
        <x:is>
          <x:t xml:space="preserve">Regulatório</x:t>
        </x:is>
      </x:c>
      <x:c r="B15" s="143" t="inlineStr">
        <x:is>
          <x:t xml:space="preserve">Licenças, aprovações e exigências regulatórias.</x:t>
        </x:is>
      </x:c>
    </x:row>
    <x:row r="16" ht="36" customHeight="1">
      <x:c r="A16" s="143" t="inlineStr">
        <x:is>
          <x:t xml:space="preserve">Recursos</x:t>
        </x:is>
      </x:c>
      <x:c r="B16" s="143" t="inlineStr">
        <x:is>
          <x:t xml:space="preserve">Capacidade, qualificação da mão de obra e disponibilidade de outros recursos.</x:t>
        </x:is>
      </x:c>
    </x:row>
    <x:row r="17" ht="36" customHeight="1">
      <x:c r="A17" s="143" t="inlineStr">
        <x:is>
          <x:t xml:space="preserve">Segurança patrimonial</x:t>
        </x:is>
      </x:c>
      <x:c r="B17" s="143" t="inlineStr">
        <x:is>
          <x:t xml:space="preserve">Furto, acesso não autorizado e segurança do canteiro.</x:t>
        </x:is>
      </x:c>
    </x:row>
    <x:row r="18" ht="36" customHeight="1">
      <x:c r="A18" s="143" t="inlineStr">
        <x:is>
          <x:t xml:space="preserve">Partes interessadas</x:t>
        </x:is>
      </x:c>
      <x:c r="B18" s="143" t="inlineStr">
        <x:is>
          <x:t xml:space="preserve">Expectativas, engajamento e aceitação externa das partes interessadas.</x:t>
        </x:is>
      </x:c>
    </x:row>
    <x:row r="19" ht="36" customHeight="1">
      <x:c r="A19" s="143" t="inlineStr">
        <x:is>
          <x:t xml:space="preserve">Suprimentos</x:t>
        </x:is>
      </x:c>
      <x:c r="B19" s="143" t="inlineStr">
        <x:is>
          <x:t xml:space="preserve">Compras de materiais, disponibilidade de fornecedores e entrega.</x:t>
        </x:is>
      </x:c>
    </x:row>
    <x:row r="20" ht="36" customHeight="1">
      <x:c r="A20" s="143" t="inlineStr">
        <x:is>
          <x:t xml:space="preserve">Técnico</x:t>
        </x:is>
      </x:c>
      <x:c r="B20" s="143" t="inlineStr">
        <x:is>
          <x:t xml:space="preserve">Viabilidade de engenharia, sistemas técnicos e desempenho.</x:t>
        </x:is>
      </x:c>
    </x:row>
  </x:sheetData>
  <x:mergeCells>
    <x:mergeCell ref="A1:B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style="9" customWidth="1"/>
    <x:col min="2" max="2" width="17.875" style="9" customWidth="1"/>
    <x:col min="3" max="3" width="16.25" style="9" customWidth="1"/>
    <x:col min="4" max="4" width="13.125" style="9" customWidth="1"/>
    <x:col min="5" max="5" width="164.25" style="2" customWidth="1"/>
    <x:col min="6" max="16384" width="9" style="2" customWidth="0"/>
  </x:cols>
  <x:sheetData>
    <x:row r="1" ht="27" customHeight="1">
      <x:c r="A1" s="60" t="inlineStr">
        <x:is>
          <x:t xml:space="preserve">Premissas dos cenários de tratamento</x:t>
        </x:is>
      </x:c>
      <x:c r="B1" s="62"/>
      <x:c r="C1" s="62"/>
      <x:c r="D1" s="62"/>
      <x:c r="E1" s="61"/>
    </x:row>
    <x:row r="2" ht="66" customHeight="1">
      <x:c r="A2" s="106" t="inlineStr">
        <x:is>
          <x:t xml:space="preserve">ID_do_Risco</x:t>
        </x:is>
      </x:c>
      <x:c r="B2" s="106" t="inlineStr">
        <x:is>
          <x:t xml:space="preserve">Probabilidade_Tratada</x:t>
        </x:is>
      </x:c>
      <x:c r="C2" s="106" t="inlineStr">
        <x:is>
          <x:t xml:space="preserve">Multiplicador_do_Impacto_na_Duracao</x:t>
        </x:is>
      </x:c>
      <x:c r="D2" s="106" t="inlineStr">
        <x:is>
          <x:t xml:space="preserve">Multiplicador_do_Impacto_no_Custo</x:t>
        </x:is>
      </x:c>
      <x:c r="E2" s="104" t="inlineStr">
        <x:is>
          <x:t xml:space="preserve">Justificativa_da_Premissa</x:t>
        </x:is>
      </x:c>
    </x:row>
    <x:row r="3" ht="36" customHeight="1">
      <x:c r="A3" s="44" t="s">
        <x:v>50</x:v>
      </x:c>
      <x:c r="B3" s="46">
        <x:v>0.18</x:v>
      </x:c>
      <x:c r="C3" s="44">
        <x:v>0.7</x:v>
      </x:c>
      <x:c r="D3" s="44">
        <x:v>1</x:v>
      </x:c>
      <x:c r="E3" s="144" t="inlineStr">
        <x:is>
          <x:t xml:space="preserve">Premissa ILUSTRATIVA de cenário: Compras antecipadas reduzem interrupções de entrega; atrasos remanescentes ainda geram custos temporais. O custo de implementação do tratamento não está incluído.</x:t>
        </x:is>
      </x:c>
    </x:row>
    <x:row r="4" ht="36" customHeight="1">
      <x:c r="A4" s="44" t="s">
        <x:v>52</x:v>
      </x:c>
      <x:c r="B4" s="46">
        <x:v>0.32</x:v>
      </x:c>
      <x:c r="C4" s="44">
        <x:v>1.1499999999999999</x:v>
      </x:c>
      <x:c r="D4" s="44">
        <x:v>1</x:v>
      </x:c>
      <x:c r="E4" s="144" t="inlineStr">
        <x:is>
          <x:t xml:space="preserve">Premissa ILUSTRATIVA de cenário: Equipes estáveis aumentam a probabilidade e a magnitude dos benefícios de prazo; custos proporcionais ao tempo caem com durações menores. O custo de implementação do tratamento não está incluído.</x:t>
        </x:is>
      </x:c>
    </x:row>
    <x:row r="5" ht="36" customHeight="1">
      <x:c r="A5" s="44" t="s">
        <x:v>53</x:v>
      </x:c>
      <x:c r="B5" s="46">
        <x:v>0.35</x:v>
      </x:c>
      <x:c r="C5" s="44">
        <x:v>0.7</x:v>
      </x:c>
      <x:c r="D5" s="44">
        <x:v>1</x:v>
      </x:c>
      <x:c r="E5" s="144" t="inlineStr">
        <x:is>
          <x:t xml:space="preserve">Premissa ILUSTRATIVA de cenário: Controles reduzem a severidade da interrupção; não alteram a probabilidade de condições meteorológicas adversas. O custo de implementação do tratamento não está incluído.</x:t>
        </x:is>
      </x:c>
    </x:row>
    <x:row r="6" ht="36" customHeight="1">
      <x:c r="A6" s="44" t="s">
        <x:v>54</x:v>
      </x:c>
      <x:c r="B6" s="46">
        <x:v>0.18</x:v>
      </x:c>
      <x:c r="C6" s="44">
        <x:v>0.6</x:v>
      </x:c>
      <x:c r="D6" s="44">
        <x:v>0.75</x:v>
      </x:c>
      <x:c r="E6" s="144" t="inlineStr">
        <x:is>
          <x:t xml:space="preserve">Premissa ILUSTRATIVA de cenário: A investigação não altera as condições do solo; a preparação reduz o atraso resultante e os custos adicionais de tratamento do solo. O custo de implementação do tratamento não está incluído.</x:t>
        </x:is>
      </x:c>
    </x:row>
    <x:row r="7" ht="36" customHeight="1">
      <x:c r="A7" s="44" t="s">
        <x:v>55</x:v>
      </x:c>
      <x:c r="B7" s="46">
        <x:v>0.15</x:v>
      </x:c>
      <x:c r="C7" s="44">
        <x:v>0.65</x:v>
      </x:c>
      <x:c r="D7" s="44">
        <x:v>0.75</x:v>
      </x:c>
      <x:c r="E7" s="144" t="inlineStr">
        <x:is>
          <x:t xml:space="preserve">Premissa ILUSTRATIVA de cenário: Desenhos liberados e coordenados reduzem alterações tardias e a revisão de projeto/retrabalho associada. O custo de implementação do tratamento não está incluído.</x:t>
        </x:is>
      </x:c>
    </x:row>
    <x:row r="8" ht="36" customHeight="1">
      <x:c r="A8" s="44" t="s">
        <x:v>56</x:v>
      </x:c>
      <x:c r="B8" s="46">
        <x:v>0.09</x:v>
      </x:c>
      <x:c r="C8" s="44">
        <x:v>0.7</x:v>
      </x:c>
      <x:c r="D8" s="44">
        <x:v>1</x:v>
      </x:c>
      <x:c r="E8" s="144" t="inlineStr">
        <x:is>
          <x:t xml:space="preserve">Premissa ILUSTRATIVA de cenário: Documentação completa apresentada antecipadamente reduz a espera administrativa; a exposição às inspeções de etapas futuras permanece modelada. O custo de implementação do tratamento não está incluído.</x:t>
        </x:is>
      </x:c>
    </x:row>
    <x:row r="9" ht="36" customHeight="1">
      <x:c r="A9" s="44" t="s">
        <x:v>57</x:v>
      </x:c>
      <x:c r="B9" s="46">
        <x:v>0.16</x:v>
      </x:c>
      <x:c r="C9" s="44">
        <x:v>0.75</x:v>
      </x:c>
      <x:c r="D9" s="44">
        <x:v>0.85</x:v>
      </x:c>
      <x:c r="E9" s="144" t="inlineStr">
        <x:is>
          <x:t xml:space="preserve">Premissa ILUSTRATIVA de cenário: Compromissos de mão de obra reduzem escassez; equipes de reserva limitam atrasos e custos adicionais de recrutamento. O custo de implementação do tratamento não está incluído.</x:t>
        </x:is>
      </x:c>
    </x:row>
    <x:row r="10" ht="36" customHeight="1">
      <x:c r="A10" s="44" t="s">
        <x:v>58</x:v>
      </x:c>
      <x:c r="B10" s="46">
        <x:v>0.1</x:v>
      </x:c>
      <x:c r="C10" s="44">
        <x:v>0.6</x:v>
      </x:c>
      <x:c r="D10" s="44">
        <x:v>0.8</x:v>
      </x:c>
      <x:c r="E10" s="144" t="inlineStr">
        <x:is>
          <x:t xml:space="preserve">Premissa ILUSTRATIVA de cenário: A manutenção reduz a probabilidade de falhas; acordos de substituição reduzem paralisações e custos emergenciais. O custo de implementação do tratamento não está incluído.</x:t>
        </x:is>
      </x:c>
    </x:row>
    <x:row r="11" ht="36" customHeight="1">
      <x:c r="A11" s="44" t="s">
        <x:v>59</x:v>
      </x:c>
      <x:c r="B11" s="46">
        <x:v>0.28000000000000003</x:v>
      </x:c>
      <x:c r="C11" s="44">
        <x:v>1</x:v>
      </x:c>
      <x:c r="D11" s="44">
        <x:v>0.65</x:v>
      </x:c>
      <x:c r="E11" s="144" t="inlineStr">
        <x:is>
          <x:t xml:space="preserve">Premissa ILUSTRATIVA de cenário: Mudanças de preços de mercado continuam possíveis; acordos de compra reduzem o incremento de custo exposto. O custo de implementação do tratamento não está incluído.</x:t>
        </x:is>
      </x:c>
    </x:row>
    <x:row r="12" ht="36" customHeight="1">
      <x:c r="A12" s="44" t="s">
        <x:v>61</x:v>
      </x:c>
      <x:c r="B12" s="46">
        <x:v>0.14000000000000001</x:v>
      </x:c>
      <x:c r="C12" s="44">
        <x:v>0.7</x:v>
      </x:c>
      <x:c r="D12" s="44">
        <x:v>0.8</x:v>
      </x:c>
      <x:c r="E12" s="144" t="inlineStr">
        <x:is>
          <x:t xml:space="preserve">Premissa ILUSTRATIVA de cenário: Verificações de capacidade e planejamento de recuperação reduzem falhas de entrega e custos adicionais de correção. O custo de implementação do tratamento não está incluído.</x:t>
        </x:is>
      </x:c>
    </x:row>
    <x:row r="13" ht="36" customHeight="1">
      <x:c r="A13" s="44" t="s">
        <x:v>62</x:v>
      </x:c>
      <x:c r="B13" s="46">
        <x:v>0.12</x:v>
      </x:c>
      <x:c r="C13" s="44">
        <x:v>0.65</x:v>
      </x:c>
      <x:c r="D13" s="44">
        <x:v>0.7</x:v>
      </x:c>
      <x:c r="E13" s="144" t="inlineStr">
        <x:is>
          <x:t xml:space="preserve">Premissa ILUSTRATIVA de cenário: A aprovação e a inspeção dos primeiros serviços reduzem defeitos e limitam a extensão do retrabalho direto. O custo de implementação do tratamento não está incluído.</x:t>
        </x:is>
      </x:c>
    </x:row>
    <x:row r="14" ht="36" customHeight="1">
      <x:c r="A14" s="44" t="s">
        <x:v>63</x:v>
      </x:c>
      <x:c r="B14" s="46">
        <x:v>0.05</x:v>
      </x:c>
      <x:c r="C14" s="44">
        <x:v>0.8</x:v>
      </x:c>
      <x:c r="D14" s="44">
        <x:v>0.85</x:v>
      </x:c>
      <x:c r="E14" s="144" t="inlineStr">
        <x:is>
          <x:t xml:space="preserve">Premissa ILUSTRATIVA de cenário: Controles reduzem a probabilidade de incidentes; consequências severas continuam possíveis e exigem revisão de SSMA independentemente da pontuação de triagem. O custo de implementação do tratamento não está incluído.</x:t>
        </x:is>
      </x:c>
    </x:row>
    <x:row r="15" ht="36" customHeight="1">
      <x:c r="A15" s="44" t="s">
        <x:v>64</x:v>
      </x:c>
      <x:c r="B15" s="46">
        <x:v>7.0000000000000007E-2</x:v>
      </x:c>
      <x:c r="C15" s="44">
        <x:v>0.65</x:v>
      </x:c>
      <x:c r="D15" s="44">
        <x:v>0.75</x:v>
      </x:c>
      <x:c r="E15" s="144" t="inlineStr">
        <x:is>
          <x:t xml:space="preserve">Premissa ILUSTRATIVA de cenário: A verificação antecipada das redes reduz interferências e o remanejamento/retrabalho resultante. O custo de implementação do tratamento não está incluído.</x:t>
        </x:is>
      </x:c>
    </x:row>
    <x:row r="16" ht="36" customHeight="1">
      <x:c r="A16" s="44" t="s">
        <x:v>65</x:v>
      </x:c>
      <x:c r="B16" s="46">
        <x:v>0.12</x:v>
      </x:c>
      <x:c r="C16" s="44">
        <x:v>0.65</x:v>
      </x:c>
      <x:c r="D16" s="44">
        <x:v>1</x:v>
      </x:c>
      <x:c r="E16" s="144" t="inlineStr">
        <x:is>
          <x:t xml:space="preserve">Premissa ILUSTRATIVA de cenário: Prazos claros e escalonamento reduzem a espera por aprovação; custos indiretos temporais permanecem. O custo de implementação do tratamento não está incluído.</x:t>
        </x:is>
      </x:c>
    </x:row>
    <x:row r="17" ht="36" customHeight="1">
      <x:c r="A17" s="44" t="s">
        <x:v>66</x:v>
      </x:c>
      <x:c r="B17" s="46">
        <x:v>0.1</x:v>
      </x:c>
      <x:c r="C17" s="44">
        <x:v>0.7</x:v>
      </x:c>
      <x:c r="D17" s="44">
        <x:v>0.8</x:v>
      </x:c>
      <x:c r="E17" s="144" t="inlineStr">
        <x:is>
          <x:t xml:space="preserve">Premissa ILUSTRATIVA de cenário: A preparação dos pagamentos e as reservas de liquidez reduzem interrupções; custos de financiamento e remobilização continuam possíveis. O custo de implementação do tratamento não está incluído.</x:t>
        </x:is>
      </x:c>
    </x:row>
    <x:row r="18" ht="36" customHeight="1">
      <x:c r="A18" s="44" t="s">
        <x:v>67</x:v>
      </x:c>
      <x:c r="B18" s="46">
        <x:v>0.05</x:v>
      </x:c>
      <x:c r="C18" s="44">
        <x:v>1</x:v>
      </x:c>
      <x:c r="D18" s="44">
        <x:v>0.75</x:v>
      </x:c>
      <x:c r="E18" s="144" t="inlineStr">
        <x:is>
          <x:t xml:space="preserve">Premissa ILUSTRATIVA de cenário: Medidas de segurança reduzem a probabilidade de perdas e os custos de reposição não recuperados; nenhuma consequência direta de prazo está mapeada. O custo de implementação do tratamento não está incluído.</x:t>
        </x:is>
      </x:c>
    </x:row>
    <x:row r="19" ht="36" customHeight="1">
      <x:c r="A19" s="44" t="s">
        <x:v>68</x:v>
      </x:c>
      <x:c r="B19" s="46">
        <x:v>7.0000000000000007E-2</x:v>
      </x:c>
      <x:c r="C19" s="44">
        <x:v>0.7</x:v>
      </x:c>
      <x:c r="D19" s="44">
        <x:v>1</x:v>
      </x:c>
      <x:c r="E19" s="144" t="inlineStr">
        <x:is>
          <x:t xml:space="preserve">Premissa ILUSTRATIVA de cenário: A articulação antecipada reduz restrições de acesso e os custos temporais resultantes. O custo de implementação do tratamento não está incluído.</x:t>
        </x:is>
      </x:c>
    </x:row>
    <x:row r="20" ht="36" customHeight="1">
      <x:c r="A20" s="44" t="s">
        <x:v>69</x:v>
      </x:c>
      <x:c r="B20" s="46">
        <x:v>0.12</x:v>
      </x:c>
      <x:c r="C20" s="44">
        <x:v>0.6</x:v>
      </x:c>
      <x:c r="D20" s="44">
        <x:v>0.65</x:v>
      </x:c>
      <x:c r="E20" s="144" t="inlineStr">
        <x:is>
          <x:t xml:space="preserve">Premissa ILUSTRATIVA de cenário: Interfaces de traçado resolvidas reduzem retrabalho de instalação, espera e materiais de reposição. O custo de implementação do tratamento não está incluído.</x:t>
        </x:is>
      </x:c>
    </x:row>
    <x:row r="21" ht="36" customHeight="1">
      <x:c r="A21" s="44" t="s">
        <x:v>70</x:v>
      </x:c>
      <x:c r="B21" s="46">
        <x:v>7.0000000000000007E-2</x:v>
      </x:c>
      <x:c r="C21" s="44">
        <x:v>0.65</x:v>
      </x:c>
      <x:c r="D21" s="44">
        <x:v>0.65</x:v>
      </x:c>
      <x:c r="E21" s="144" t="inlineStr">
        <x:is>
          <x:t xml:space="preserve">Premissa ILUSTRATIVA de cenário: A aceitação por etapas reduz defeitos e restringe remoção/reaplicação a áreas menores. O custo de implementação do tratamento não está incluído.</x:t>
        </x:is>
      </x:c>
    </x:row>
    <x:row r="22" ht="36" customHeight="1">
      <x:c r="A22" s="44" t="s">
        <x:v>71</x:v>
      </x:c>
      <x:c r="B22" s="46">
        <x:v>0.1</x:v>
      </x:c>
      <x:c r="C22" s="44">
        <x:v>0.65</x:v>
      </x:c>
      <x:c r="D22" s="44">
        <x:v>0.75</x:v>
      </x:c>
      <x:c r="E22" s="144" t="inlineStr">
        <x:is>
          <x:t xml:space="preserve">Premissa ILUSTRATIVA de cenário: Verificações prévias reduzem falhas e custos de diagnóstico/novos testes no comissionamento final. O custo de implementação do tratamento não está incluído.</x:t>
        </x:is>
      </x:c>
    </x:row>
    <x:row r="23" ht="36" customHeight="1">
      <x:c r="A23" s="44" t="s">
        <x:v>72</x:v>
      </x:c>
      <x:c r="B23" s="46">
        <x:v>0.28000000000000003</x:v>
      </x:c>
      <x:c r="C23" s="44">
        <x:v>1.2</x:v>
      </x:c>
      <x:c r="D23" s="44">
        <x:v>1.1499999999999999</x:v>
      </x:c>
      <x:c r="E23" s="144" t="inlineStr">
        <x:is>
          <x:t xml:space="preserve">Premissa ILUSTRATIVA de cenário: Interfaces preparadas aumentam a chance e o benefício de instalação mais rápida e menor desperdício de materiais. O custo de implementação do tratamento não está incluído.</x:t>
        </x:is>
      </x:c>
    </x:row>
    <x:row r="24" ht="36" customHeight="1">
      <x:c r="A24" s="44" t="s">
        <x:v>73</x:v>
      </x:c>
      <x:c r="B24" s="46">
        <x:v>0.35</x:v>
      </x:c>
      <x:c r="C24" s="44">
        <x:v>1</x:v>
      </x:c>
      <x:c r="D24" s="44">
        <x:v>1.1499999999999999</x:v>
      </x:c>
      <x:c r="E24" s="144" t="inlineStr">
        <x:is>
          <x:t xml:space="preserve">Premissa ILUSTRATIVA de cenário: Compras consolidadas aumentam a chance de desconto e a economia de custos diretos; nenhuma economia de prazo está mapeada. O custo de implementação do tratamento não está incluído.</x:t>
        </x:is>
      </x:c>
    </x:row>
    <x:row r="25" ht="36" customHeight="1">
      <x:c r="A25" s="44" t="s">
        <x:v>74</x:v>
      </x:c>
      <x:c r="B25" s="46">
        <x:v>0.3</x:v>
      </x:c>
      <x:c r="C25" s="44">
        <x:v>1.1499999999999999</x:v>
      </x:c>
      <x:c r="D25" s="44">
        <x:v>1.1000000000000001</x:v>
      </x:c>
      <x:c r="E25" s="144" t="inlineStr">
        <x:is>
          <x:t xml:space="preserve">Premissa ILUSTRATIVA de cenário: A definição antecipada dos projetos amplia os atrasos evitados e a economia direta com revisão de projeto/retrabalho. O custo de implementação do tratamento não está incluído.</x:t>
        </x:is>
      </x:c>
    </x:row>
    <x:row r="26" ht="51" customHeight="1">
      <x:c r="A26" s="44" t="s">
        <x:v>75</x:v>
      </x:c>
      <x:c r="B26" s="46">
        <x:v>0.22</x:v>
      </x:c>
      <x:c r="C26" s="44">
        <x:v>1.1499999999999999</x:v>
      </x:c>
      <x:c r="D26" s="44">
        <x:v>1</x:v>
      </x:c>
      <x:c r="E26" s="144" t="inlineStr">
        <x:is>
          <x:t xml:space="preserve">Premissa ILUSTRATIVA de cenário: documentação completa e antecipada aumenta a probabilidade e a magnitude da redução do prazo de aprovação. As taxas finais de aprovação/entrega são fixas; não se presume economia por taxa temporal. Custos de implementação das respostas estão excluídos.</x:t>
        </x:is>
      </x:c>
    </x:row>
    <x:row r="27">
      <x:c r="A27" s="45"/>
      <x:c r="B27" s="47"/>
      <x:c r="C27" s="45"/>
      <x:c r="D27" s="45"/>
      <x:c r="E27" s="7"/>
    </x:row>
    <x:row r="28">
      <x:c r="A28" s="45"/>
      <x:c r="B28" s="47"/>
      <x:c r="C28" s="45"/>
      <x:c r="D28" s="45"/>
      <x:c r="E28" s="7"/>
    </x:row>
    <x:row r="29">
      <x:c r="A29" s="45"/>
      <x:c r="B29" s="47"/>
      <x:c r="C29" s="45"/>
      <x:c r="D29" s="45"/>
      <x:c r="E29" s="7"/>
    </x:row>
    <x:row r="30">
      <x:c r="A30" s="45"/>
      <x:c r="B30" s="47"/>
      <x:c r="C30" s="45"/>
      <x:c r="D30" s="45"/>
      <x:c r="E30" s="7"/>
    </x:row>
    <x:row r="31">
      <x:c r="A31" s="45"/>
      <x:c r="B31" s="47"/>
      <x:c r="C31" s="45"/>
      <x:c r="D31" s="45"/>
      <x:c r="E31" s="7"/>
    </x:row>
    <x:row r="32">
      <x:c r="A32" s="45"/>
      <x:c r="B32" s="47"/>
      <x:c r="C32" s="45"/>
      <x:c r="D32" s="45"/>
      <x:c r="E32" s="7"/>
    </x:row>
    <x:row r="33">
      <x:c r="A33" s="45"/>
      <x:c r="B33" s="47"/>
      <x:c r="C33" s="45"/>
      <x:c r="D33" s="45"/>
      <x:c r="E33" s="7"/>
    </x:row>
    <x:row r="34">
      <x:c r="A34" s="45"/>
      <x:c r="B34" s="47"/>
      <x:c r="C34" s="45"/>
      <x:c r="D34" s="45"/>
      <x:c r="E34" s="7"/>
    </x:row>
    <x:row r="35">
      <x:c r="A35" s="45"/>
      <x:c r="B35" s="47"/>
      <x:c r="C35" s="45"/>
      <x:c r="D35" s="45"/>
      <x:c r="E35" s="7"/>
    </x:row>
    <x:row r="36">
      <x:c r="A36" s="45"/>
      <x:c r="B36" s="47"/>
      <x:c r="C36" s="45"/>
      <x:c r="D36" s="45"/>
      <x:c r="E36" s="7"/>
    </x:row>
    <x:row r="37">
      <x:c r="A37" s="45"/>
      <x:c r="B37" s="47"/>
      <x:c r="C37" s="45"/>
      <x:c r="D37" s="45"/>
      <x:c r="E37" s="7"/>
    </x:row>
    <x:row r="38">
      <x:c r="A38" s="45"/>
      <x:c r="B38" s="47"/>
      <x:c r="C38" s="45"/>
      <x:c r="D38" s="45"/>
      <x:c r="E38" s="7"/>
    </x:row>
    <x:row r="39">
      <x:c r="A39" s="45"/>
      <x:c r="B39" s="47"/>
      <x:c r="C39" s="45"/>
      <x:c r="D39" s="45"/>
      <x:c r="E39" s="7"/>
    </x:row>
    <x:row r="40">
      <x:c r="A40" s="45"/>
      <x:c r="B40" s="47"/>
      <x:c r="C40" s="45"/>
      <x:c r="D40" s="45"/>
      <x:c r="E40" s="7"/>
    </x:row>
    <x:row r="41">
      <x:c r="A41" s="45"/>
      <x:c r="B41" s="47"/>
      <x:c r="C41" s="45"/>
      <x:c r="D41" s="45"/>
      <x:c r="E41" s="7"/>
    </x:row>
    <x:row r="42">
      <x:c r="A42" s="45"/>
      <x:c r="B42" s="47"/>
      <x:c r="C42" s="45"/>
      <x:c r="D42" s="45"/>
      <x:c r="E42" s="7"/>
    </x:row>
    <x:row r="43">
      <x:c r="A43" s="45"/>
      <x:c r="B43" s="47"/>
      <x:c r="C43" s="45"/>
      <x:c r="D43" s="45"/>
      <x:c r="E43" s="7"/>
    </x:row>
    <x:row r="44">
      <x:c r="A44" s="45"/>
      <x:c r="B44" s="47"/>
      <x:c r="C44" s="45"/>
      <x:c r="D44" s="45"/>
      <x:c r="E44" s="7"/>
    </x:row>
    <x:row r="45">
      <x:c r="A45" s="45"/>
      <x:c r="B45" s="47"/>
      <x:c r="C45" s="45"/>
      <x:c r="D45" s="45"/>
      <x:c r="E45" s="7"/>
    </x:row>
    <x:row r="46">
      <x:c r="A46" s="45"/>
      <x:c r="B46" s="47"/>
      <x:c r="C46" s="45"/>
      <x:c r="D46" s="45"/>
      <x:c r="E46" s="7"/>
    </x:row>
    <x:row r="47">
      <x:c r="A47" s="45"/>
      <x:c r="B47" s="47"/>
      <x:c r="C47" s="45"/>
      <x:c r="D47" s="45"/>
      <x:c r="E47" s="7"/>
    </x:row>
    <x:row r="48">
      <x:c r="A48" s="45"/>
      <x:c r="B48" s="47"/>
      <x:c r="C48" s="45"/>
      <x:c r="D48" s="45"/>
      <x:c r="E48" s="7"/>
    </x:row>
    <x:row r="49">
      <x:c r="A49" s="45"/>
      <x:c r="B49" s="47"/>
      <x:c r="C49" s="45"/>
      <x:c r="D49" s="45"/>
      <x:c r="E49" s="7"/>
    </x:row>
    <x:row r="50">
      <x:c r="A50" s="45"/>
      <x:c r="B50" s="47"/>
      <x:c r="C50" s="45"/>
      <x:c r="D50" s="45"/>
      <x:c r="E50" s="7"/>
    </x:row>
    <x:row r="51">
      <x:c r="A51" s="45"/>
      <x:c r="B51" s="47"/>
      <x:c r="C51" s="45"/>
      <x:c r="D51" s="45"/>
      <x:c r="E51" s="7"/>
    </x:row>
    <x:row r="52">
      <x:c r="A52" s="45"/>
      <x:c r="B52" s="47"/>
      <x:c r="C52" s="45"/>
      <x:c r="D52" s="45"/>
      <x:c r="E52" s="7"/>
    </x:row>
    <x:row r="53">
      <x:c r="A53" s="45"/>
      <x:c r="B53" s="47"/>
      <x:c r="C53" s="45"/>
      <x:c r="D53" s="45"/>
      <x:c r="E53" s="7"/>
    </x:row>
    <x:row r="54">
      <x:c r="A54" s="45"/>
      <x:c r="B54" s="47"/>
      <x:c r="C54" s="45"/>
      <x:c r="D54" s="45"/>
      <x:c r="E54" s="7"/>
    </x:row>
    <x:row r="55">
      <x:c r="A55" s="45"/>
      <x:c r="B55" s="47"/>
      <x:c r="C55" s="45"/>
      <x:c r="D55" s="45"/>
      <x:c r="E55" s="7"/>
    </x:row>
    <x:row r="56">
      <x:c r="A56" s="45"/>
      <x:c r="B56" s="47"/>
      <x:c r="C56" s="45"/>
      <x:c r="D56" s="45"/>
      <x:c r="E56" s="7"/>
    </x:row>
    <x:row r="57">
      <x:c r="A57" s="45"/>
      <x:c r="B57" s="47"/>
      <x:c r="C57" s="45"/>
      <x:c r="D57" s="45"/>
      <x:c r="E57" s="7"/>
    </x:row>
    <x:row r="58">
      <x:c r="A58" s="45"/>
      <x:c r="B58" s="47"/>
      <x:c r="C58" s="45"/>
      <x:c r="D58" s="45"/>
      <x:c r="E58" s="7"/>
    </x:row>
    <x:row r="59">
      <x:c r="A59" s="45"/>
      <x:c r="B59" s="47"/>
      <x:c r="C59" s="45"/>
      <x:c r="D59" s="45"/>
      <x:c r="E59" s="7"/>
    </x:row>
    <x:row r="60">
      <x:c r="A60" s="45"/>
      <x:c r="B60" s="47"/>
      <x:c r="C60" s="45"/>
      <x:c r="D60" s="45"/>
      <x:c r="E60" s="7"/>
    </x:row>
    <x:row r="61">
      <x:c r="A61" s="45"/>
      <x:c r="B61" s="47"/>
      <x:c r="C61" s="45"/>
      <x:c r="D61" s="45"/>
      <x:c r="E61" s="7"/>
    </x:row>
    <x:row r="62">
      <x:c r="A62" s="45"/>
      <x:c r="B62" s="47"/>
      <x:c r="C62" s="45"/>
      <x:c r="D62" s="45"/>
      <x:c r="E62" s="7"/>
    </x:row>
    <x:row r="63">
      <x:c r="A63" s="45"/>
      <x:c r="B63" s="47"/>
      <x:c r="C63" s="45"/>
      <x:c r="D63" s="45"/>
      <x:c r="E63" s="7"/>
    </x:row>
    <x:row r="64">
      <x:c r="A64" s="45"/>
      <x:c r="B64" s="47"/>
      <x:c r="C64" s="45"/>
      <x:c r="D64" s="45"/>
      <x:c r="E64" s="7"/>
    </x:row>
    <x:row r="65">
      <x:c r="A65" s="45"/>
      <x:c r="B65" s="47"/>
      <x:c r="C65" s="45"/>
      <x:c r="D65" s="45"/>
      <x:c r="E65" s="7"/>
    </x:row>
    <x:row r="66">
      <x:c r="A66" s="45"/>
      <x:c r="B66" s="47"/>
      <x:c r="C66" s="45"/>
      <x:c r="D66" s="45"/>
      <x:c r="E66" s="7"/>
    </x:row>
    <x:row r="67">
      <x:c r="A67" s="45"/>
      <x:c r="B67" s="47"/>
      <x:c r="C67" s="45"/>
      <x:c r="D67" s="45"/>
      <x:c r="E67" s="7"/>
    </x:row>
    <x:row r="68">
      <x:c r="A68" s="45"/>
      <x:c r="B68" s="47"/>
      <x:c r="C68" s="45"/>
      <x:c r="D68" s="45"/>
      <x:c r="E68" s="7"/>
    </x:row>
    <x:row r="69">
      <x:c r="A69" s="45"/>
      <x:c r="B69" s="47"/>
      <x:c r="C69" s="45"/>
      <x:c r="D69" s="45"/>
      <x:c r="E69" s="7"/>
    </x:row>
    <x:row r="70">
      <x:c r="A70" s="45"/>
      <x:c r="B70" s="47"/>
      <x:c r="C70" s="45"/>
      <x:c r="D70" s="45"/>
      <x:c r="E70" s="7"/>
    </x:row>
    <x:row r="71">
      <x:c r="A71" s="45"/>
      <x:c r="B71" s="47"/>
      <x:c r="C71" s="45"/>
      <x:c r="D71" s="45"/>
      <x:c r="E71" s="7"/>
    </x:row>
    <x:row r="72">
      <x:c r="A72" s="45"/>
      <x:c r="B72" s="47"/>
      <x:c r="C72" s="45"/>
      <x:c r="D72" s="45"/>
      <x:c r="E72" s="7"/>
    </x:row>
    <x:row r="73">
      <x:c r="A73" s="45"/>
      <x:c r="B73" s="47"/>
      <x:c r="C73" s="45"/>
      <x:c r="D73" s="45"/>
      <x:c r="E73" s="7"/>
    </x:row>
    <x:row r="74">
      <x:c r="A74" s="45"/>
      <x:c r="B74" s="47"/>
      <x:c r="C74" s="45"/>
      <x:c r="D74" s="45"/>
      <x:c r="E74" s="7"/>
    </x:row>
    <x:row r="75">
      <x:c r="A75" s="45"/>
      <x:c r="B75" s="47"/>
      <x:c r="C75" s="45"/>
      <x:c r="D75" s="45"/>
      <x:c r="E75" s="7"/>
    </x:row>
    <x:row r="76">
      <x:c r="A76" s="45"/>
      <x:c r="B76" s="47"/>
      <x:c r="C76" s="45"/>
      <x:c r="D76" s="45"/>
      <x:c r="E76" s="7"/>
    </x:row>
    <x:row r="77">
      <x:c r="A77" s="45"/>
      <x:c r="B77" s="47"/>
      <x:c r="C77" s="45"/>
      <x:c r="D77" s="45"/>
      <x:c r="E77" s="7"/>
    </x:row>
    <x:row r="78">
      <x:c r="A78" s="45"/>
      <x:c r="B78" s="47"/>
      <x:c r="C78" s="45"/>
      <x:c r="D78" s="45"/>
      <x:c r="E78" s="7"/>
    </x:row>
    <x:row r="79">
      <x:c r="A79" s="45"/>
      <x:c r="B79" s="47"/>
      <x:c r="C79" s="45"/>
      <x:c r="D79" s="45"/>
      <x:c r="E79" s="7"/>
    </x:row>
    <x:row r="80">
      <x:c r="A80" s="45"/>
      <x:c r="B80" s="47"/>
      <x:c r="C80" s="45"/>
      <x:c r="D80" s="45"/>
      <x:c r="E80" s="7"/>
    </x:row>
    <x:row r="81">
      <x:c r="A81" s="45"/>
      <x:c r="B81" s="47"/>
      <x:c r="C81" s="45"/>
      <x:c r="D81" s="45"/>
      <x:c r="E81" s="7"/>
    </x:row>
    <x:row r="82">
      <x:c r="A82" s="45"/>
      <x:c r="B82" s="47"/>
      <x:c r="C82" s="45"/>
      <x:c r="D82" s="45"/>
      <x:c r="E82" s="7"/>
    </x:row>
    <x:row r="83">
      <x:c r="A83" s="45"/>
      <x:c r="B83" s="47"/>
      <x:c r="C83" s="45"/>
      <x:c r="D83" s="45"/>
      <x:c r="E83" s="7"/>
    </x:row>
    <x:row r="84">
      <x:c r="A84" s="45"/>
      <x:c r="B84" s="47"/>
      <x:c r="C84" s="45"/>
      <x:c r="D84" s="45"/>
      <x:c r="E84" s="7"/>
    </x:row>
    <x:row r="85">
      <x:c r="A85" s="45"/>
      <x:c r="B85" s="47"/>
      <x:c r="C85" s="45"/>
      <x:c r="D85" s="45"/>
      <x:c r="E85" s="7"/>
    </x:row>
    <x:row r="86">
      <x:c r="A86" s="45"/>
      <x:c r="B86" s="47"/>
      <x:c r="C86" s="45"/>
      <x:c r="D86" s="45"/>
      <x:c r="E86" s="7"/>
    </x:row>
    <x:row r="87">
      <x:c r="A87" s="45"/>
      <x:c r="B87" s="47"/>
      <x:c r="C87" s="45"/>
      <x:c r="D87" s="45"/>
      <x:c r="E87" s="7"/>
    </x:row>
    <x:row r="88">
      <x:c r="A88" s="45"/>
      <x:c r="B88" s="47"/>
      <x:c r="C88" s="45"/>
      <x:c r="D88" s="45"/>
      <x:c r="E88" s="7"/>
    </x:row>
    <x:row r="89">
      <x:c r="A89" s="45"/>
      <x:c r="B89" s="47"/>
      <x:c r="C89" s="45"/>
      <x:c r="D89" s="45"/>
      <x:c r="E89" s="7"/>
    </x:row>
    <x:row r="90">
      <x:c r="A90" s="45"/>
      <x:c r="B90" s="47"/>
      <x:c r="C90" s="45"/>
      <x:c r="D90" s="45"/>
      <x:c r="E90" s="7"/>
    </x:row>
    <x:row r="91">
      <x:c r="A91" s="45"/>
      <x:c r="B91" s="47"/>
      <x:c r="C91" s="45"/>
      <x:c r="D91" s="45"/>
      <x:c r="E91" s="7"/>
    </x:row>
    <x:row r="92">
      <x:c r="A92" s="45"/>
      <x:c r="B92" s="47"/>
      <x:c r="C92" s="45"/>
      <x:c r="D92" s="45"/>
      <x:c r="E92" s="7"/>
    </x:row>
    <x:row r="93">
      <x:c r="A93" s="45"/>
      <x:c r="B93" s="47"/>
      <x:c r="C93" s="45"/>
      <x:c r="D93" s="45"/>
      <x:c r="E93" s="7"/>
    </x:row>
    <x:row r="94">
      <x:c r="A94" s="45"/>
      <x:c r="B94" s="47"/>
      <x:c r="C94" s="45"/>
      <x:c r="D94" s="45"/>
      <x:c r="E94" s="7"/>
    </x:row>
    <x:row r="95">
      <x:c r="A95" s="45"/>
      <x:c r="B95" s="47"/>
      <x:c r="C95" s="45"/>
      <x:c r="D95" s="45"/>
      <x:c r="E95" s="7"/>
    </x:row>
    <x:row r="96">
      <x:c r="A96" s="45"/>
      <x:c r="B96" s="47"/>
      <x:c r="C96" s="45"/>
      <x:c r="D96" s="45"/>
      <x:c r="E96" s="7"/>
    </x:row>
    <x:row r="97">
      <x:c r="A97" s="45"/>
      <x:c r="B97" s="47"/>
      <x:c r="C97" s="45"/>
      <x:c r="D97" s="45"/>
      <x:c r="E97" s="7"/>
    </x:row>
    <x:row r="98">
      <x:c r="A98" s="45"/>
      <x:c r="B98" s="47"/>
      <x:c r="C98" s="45"/>
      <x:c r="D98" s="45"/>
      <x:c r="E98" s="7"/>
    </x:row>
    <x:row r="99">
      <x:c r="A99" s="45"/>
      <x:c r="B99" s="47"/>
      <x:c r="C99" s="45"/>
      <x:c r="D99" s="45"/>
      <x:c r="E99" s="7"/>
    </x:row>
  </x:sheetData>
  <x:mergeCells>
    <x:mergeCell ref="A1:E1"/>
  </x:mergeCells>
  <x:dataValidations count="2">
    <x:dataValidation type="decimal" allowBlank="1" showErrorMessage="1" errorTitle="Invalid input" error="Enter a value from the documented options or range." sqref="B3:B99">
      <x:formula1>0</x:formula1>
      <x:formula2>1</x:formula2>
    </x:dataValidation>
    <x:dataValidation type="decimal" allowBlank="1" showErrorMessage="1" errorTitle="Invalid input" error="Enter a value from the documented options or range." sqref="C3:D99">
      <x:formula1>0</x:formula1>
      <x:formula2>1000000000000000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2" style="9" customWidth="1"/>
    <x:col min="2" max="2" width="17.25" style="9" customWidth="1"/>
    <x:col min="3" max="3" width="17.625" style="9" customWidth="1"/>
    <x:col min="4" max="4" width="21.25" style="9" customWidth="1"/>
    <x:col min="5" max="5" width="10.875" style="9" customWidth="1"/>
    <x:col min="6" max="6" width="9.75" style="9" customWidth="1"/>
    <x:col min="7" max="7" width="14.375" style="9" customWidth="1"/>
    <x:col min="8" max="8" width="105.125" style="2" customWidth="1"/>
    <x:col min="9" max="9" width="16" style="2" customWidth="1"/>
    <x:col min="10" max="16384" width="9" style="2" customWidth="0"/>
  </x:cols>
  <x:sheetData>
    <x:row r="1" ht="18.75">
      <x:c r="A1" s="60" t="inlineStr">
        <x:is>
          <x:t xml:space="preserve">Premissas ilustrativas de custos das atividades V2.2</x:t>
        </x:is>
      </x:c>
      <x:c r="B1" s="62"/>
      <x:c r="C1" s="62"/>
      <x:c r="D1" s="62"/>
      <x:c r="E1" s="62"/>
      <x:c r="F1" s="62"/>
      <x:c r="G1" s="62"/>
      <x:c r="H1" s="62"/>
      <x:c r="I1" s="61"/>
    </x:row>
    <x:row r="2" ht="48" customHeight="1">
      <x:c r="A2" s="106" t="inlineStr">
        <x:is>
          <x:t xml:space="preserve">ID_da_Atividade</x:t>
        </x:is>
      </x:c>
      <x:c r="B2" s="106" t="inlineStr">
        <x:is>
          <x:t xml:space="preserve">Custo_Base_Original</x:t>
        </x:is>
      </x:c>
      <x:c r="C2" s="106" t="inlineStr">
        <x:is>
          <x:t xml:space="preserve">Duracao_de_Referencia</x:t>
        </x:is>
      </x:c>
      <x:c r="D2" s="106" t="inlineStr">
        <x:is>
          <x:t xml:space="preserve">Parcela_Dependente_do_Tempo</x:t>
        </x:is>
      </x:c>
      <x:c r="E2" s="106" t="inlineStr">
        <x:is>
          <x:t xml:space="preserve">Custo_Fixo</x:t>
        </x:is>
      </x:c>
      <x:c r="F2" s="106" t="inlineStr">
        <x:is>
          <x:t xml:space="preserve">Taxa_de_Custo</x:t>
        </x:is>
      </x:c>
      <x:c r="G2" s="106" t="inlineStr">
        <x:is>
          <x:t xml:space="preserve">Total_de_Referencia</x:t>
        </x:is>
      </x:c>
      <x:c r="H2" s="104" t="inlineStr">
        <x:is>
          <x:t xml:space="preserve">Base</x:t>
        </x:is>
      </x:c>
      <x:c r="I2" s="104" t="inlineStr">
        <x:is>
          <x:t xml:space="preserve">Associacao_de_Custo</x:t>
        </x:is>
      </x:c>
    </x:row>
    <x:row r="3" ht="36" customHeight="1">
      <x:c r="A3" s="44" t="s">
        <x:v>6</x:v>
      </x:c>
      <x:c r="B3" s="51">
        <x:v>12000</x:v>
      </x:c>
      <x:c r="C3" s="49" t="n">
        <x:f>IF(Atividades!D3="Fixa",Atividades!E3,IF(Atividades!D3="Triangular",(Atividades!F3+Atividades!G3+Atividades!H3)/3,IF(Atividades!D3="Beta-PERT",(Atividades!F3+4*Atividades!G3+Atividades!H3)/6,IF(Atividades!D3="Normal",Atividades!I3,IF(Atividades!D3="Uniforme",(Atividades!F3+Atividades!H3)/2,IF(OR(Atividades!D3="Exponencial",Atividades!D3="Lognormal",Atividades!D3="Gama"),Atividades!I3,NA()))))))</x:f>
        <x:v>5</x:v>
      </x:c>
      <x:c r="D3" s="50">
        <x:v>0.35</x:v>
      </x:c>
      <x:c r="E3" s="49" t="n">
        <x:f t="shared" ref="E3:E32" si="0">ROUND(B3-F3*C3,2)</x:f>
        <x:v>7800</x:v>
      </x:c>
      <x:c r="F3" s="49" t="n">
        <x:f>IF(Atividades!M3="Apenas fixo",0,IF(D3=0,0,ROUND(B3*D3/C3,2)))</x:f>
        <x:v>840</x:v>
      </x:c>
      <x:c r="G3" s="49" t="n">
        <x:f t="shared" ref="G3:G32" si="1">E3+F3*C3</x:f>
        <x:v>12000</x:v>
      </x:c>
      <x:c r="H3" s="144" t="inlineStr">
        <x:is>
          <x:t xml:space="preserve">Divisão ILUSTRATIVA entre custos fixos e ocupação de recursos; orçamento de referência preservado.</x:t>
        </x:is>
      </x:c>
      <x:c r="I3" s="42" t="str">
        <x:f>Atividades!M3</x:f>
        <x:v>Fixo + tempo</x:v>
      </x:c>
    </x:row>
    <x:row r="4" ht="36" customHeight="1">
      <x:c r="A4" s="52" t="s">
        <x:v>7</x:v>
      </x:c>
      <x:c r="B4" s="51">
        <x:v>8000</x:v>
      </x:c>
      <x:c r="C4" s="49" t="n">
        <x:f>IF(Atividades!D4="Fixa",Atividades!E4,IF(Atividades!D4="Triangular",(Atividades!F4+Atividades!G4+Atividades!H4)/3,IF(Atividades!D4="Beta-PERT",(Atividades!F4+4*Atividades!G4+Atividades!H4)/6,IF(Atividades!D4="Normal",Atividades!I4,IF(Atividades!D4="Uniforme",(Atividades!F4+Atividades!H4)/2,IF(OR(Atividades!D4="Exponencial",Atividades!D4="Lognormal",Atividades!D4="Gama"),Atividades!I4,NA()))))))</x:f>
        <x:v>4.666666666666667</x:v>
      </x:c>
      <x:c r="D4" s="50">
        <x:v>0.5</x:v>
      </x:c>
      <x:c r="E4" s="49" t="n">
        <x:f t="shared" si="0">ROUND(B4-F4*C4,2)</x:f>
        <x:v>4000.01</x:v>
      </x:c>
      <x:c r="F4" s="49" t="n">
        <x:f>IF(Atividades!M4="Apenas fixo",0,IF(D4=0,0,ROUND(B4*D4/C4,2)))</x:f>
        <x:v>857.14</x:v>
      </x:c>
      <x:c r="G4" s="49" t="n">
        <x:f t="shared" si="1">E4+F4*C4</x:f>
        <x:v>7999.996666666667</x:v>
      </x:c>
      <x:c r="H4" s="145" t="inlineStr">
        <x:is>
          <x:t xml:space="preserve">Divisão ILUSTRATIVA entre custos fixos e ocupação de recursos; orçamento de referência preservado.</x:t>
        </x:is>
      </x:c>
      <x:c r="I4" s="48" t="str">
        <x:f>Atividades!M4</x:f>
        <x:v>Fixo + tempo</x:v>
      </x:c>
    </x:row>
    <x:row r="5" ht="36" customHeight="1">
      <x:c r="A5" s="44" t="s">
        <x:v>8</x:v>
      </x:c>
      <x:c r="B5" s="51">
        <x:v>25000</x:v>
      </x:c>
      <x:c r="C5" s="49" t="n">
        <x:f>IF(Atividades!D5="Fixa",Atividades!E5,IF(Atividades!D5="Triangular",(Atividades!F5+Atividades!G5+Atividades!H5)/3,IF(Atividades!D5="Beta-PERT",(Atividades!F5+4*Atividades!G5+Atividades!H5)/6,IF(Atividades!D5="Normal",Atividades!I5,IF(Atividades!D5="Uniforme",(Atividades!F5+Atividades!H5)/2,IF(OR(Atividades!D5="Exponencial",Atividades!D5="Lognormal",Atividades!D5="Gama"),Atividades!I5,NA()))))))</x:f>
        <x:v>4.333333333333333</x:v>
      </x:c>
      <x:c r="D5" s="50">
        <x:v>0.45</x:v>
      </x:c>
      <x:c r="E5" s="49" t="n">
        <x:f t="shared" si="0">ROUND(B5-F5*C5,2)</x:f>
        <x:v>13750.02</x:v>
      </x:c>
      <x:c r="F5" s="49" t="n">
        <x:f>IF(Atividades!M5="Apenas fixo",0,IF(D5=0,0,ROUND(B5*D5/C5,2)))</x:f>
        <x:v>2596.15</x:v>
      </x:c>
      <x:c r="G5" s="49" t="n">
        <x:f t="shared" si="1">E5+F5*C5</x:f>
        <x:v>25000.003333333334</x:v>
      </x:c>
      <x:c r="H5" s="144" t="inlineStr">
        <x:is>
          <x:t xml:space="preserve">Divisão ILUSTRATIVA entre custos fixos e ocupação de recursos; orçamento de referência preservado.</x:t>
        </x:is>
      </x:c>
      <x:c r="I5" s="42" t="str">
        <x:f>Atividades!M5</x:f>
        <x:v>Fixo + tempo</x:v>
      </x:c>
    </x:row>
    <x:row r="6" ht="36" customHeight="1">
      <x:c r="A6" s="52" t="s">
        <x:v>9</x:v>
      </x:c>
      <x:c r="B6" s="51">
        <x:v>18000</x:v>
      </x:c>
      <x:c r="C6" s="49" t="n">
        <x:f>IF(Atividades!D6="Fixa",Atividades!E6,IF(Atividades!D6="Triangular",(Atividades!F6+Atividades!G6+Atividades!H6)/3,IF(Atividades!D6="Beta-PERT",(Atividades!F6+4*Atividades!G6+Atividades!H6)/6,IF(Atividades!D6="Normal",Atividades!I6,IF(Atividades!D6="Uniforme",(Atividades!F6+Atividades!H6)/2,IF(OR(Atividades!D6="Exponencial",Atividades!D6="Lognormal",Atividades!D6="Gama"),Atividades!I6,NA()))))))</x:f>
        <x:v>5</x:v>
      </x:c>
      <x:c r="D6" s="50">
        <x:v>0.5</x:v>
      </x:c>
      <x:c r="E6" s="49" t="n">
        <x:f t="shared" si="0">ROUND(B6-F6*C6,2)</x:f>
        <x:v>9000</x:v>
      </x:c>
      <x:c r="F6" s="49" t="n">
        <x:f>IF(Atividades!M6="Apenas fixo",0,IF(D6=0,0,ROUND(B6*D6/C6,2)))</x:f>
        <x:v>1800</x:v>
      </x:c>
      <x:c r="G6" s="49" t="n">
        <x:f t="shared" si="1">E6+F6*C6</x:f>
        <x:v>18000</x:v>
      </x:c>
      <x:c r="H6" s="145" t="inlineStr">
        <x:is>
          <x:t xml:space="preserve">Divisão ILUSTRATIVA entre custos fixos e ocupação de recursos; orçamento de referência preservado.</x:t>
        </x:is>
      </x:c>
      <x:c r="I6" s="48" t="str">
        <x:f>Atividades!M6</x:f>
        <x:v>Fixo + tempo</x:v>
      </x:c>
    </x:row>
    <x:row r="7" ht="36" customHeight="1">
      <x:c r="A7" s="44" t="s">
        <x:v>10</x:v>
      </x:c>
      <x:c r="B7" s="51">
        <x:v>65000</x:v>
      </x:c>
      <x:c r="C7" s="49" t="n">
        <x:f>IF(Atividades!D7="Fixa",Atividades!E7,IF(Atividades!D7="Triangular",(Atividades!F7+Atividades!G7+Atividades!H7)/3,IF(Atividades!D7="Beta-PERT",(Atividades!F7+4*Atividades!G7+Atividades!H7)/6,IF(Atividades!D7="Normal",Atividades!I7,IF(Atividades!D7="Uniforme",(Atividades!F7+Atividades!H7)/2,IF(OR(Atividades!D7="Exponencial",Atividades!D7="Lognormal",Atividades!D7="Gama"),Atividades!I7,NA()))))))</x:f>
        <x:v>5</x:v>
      </x:c>
      <x:c r="D7" s="50">
        <x:v>0.3</x:v>
      </x:c>
      <x:c r="E7" s="49" t="n">
        <x:f t="shared" si="0">ROUND(B7-F7*C7,2)</x:f>
        <x:v>45500</x:v>
      </x:c>
      <x:c r="F7" s="49" t="n">
        <x:f>IF(Atividades!M7="Apenas fixo",0,IF(D7=0,0,ROUND(B7*D7/C7,2)))</x:f>
        <x:v>3900</x:v>
      </x:c>
      <x:c r="G7" s="49" t="n">
        <x:f t="shared" si="1">E7+F7*C7</x:f>
        <x:v>65000</x:v>
      </x:c>
      <x:c r="H7" s="144" t="inlineStr">
        <x:is>
          <x:t xml:space="preserve">Divisão ILUSTRATIVA entre custos fixos e ocupação de recursos; orçamento de referência preservado.</x:t>
        </x:is>
      </x:c>
      <x:c r="I7" s="42" t="str">
        <x:f>Atividades!M7</x:f>
        <x:v>Fixo + tempo</x:v>
      </x:c>
    </x:row>
    <x:row r="8" ht="36" customHeight="1">
      <x:c r="A8" s="52" t="s">
        <x:v>11</x:v>
      </x:c>
      <x:c r="B8" s="51">
        <x:v>38000</x:v>
      </x:c>
      <x:c r="C8" s="49" t="n">
        <x:f>IF(Atividades!D8="Fixa",Atividades!E8,IF(Atividades!D8="Triangular",(Atividades!F8+Atividades!G8+Atividades!H8)/3,IF(Atividades!D8="Beta-PERT",(Atividades!F8+4*Atividades!G8+Atividades!H8)/6,IF(Atividades!D8="Normal",Atividades!I8,IF(Atividades!D8="Uniforme",(Atividades!F8+Atividades!H8)/2,IF(OR(Atividades!D8="Exponencial",Atividades!D8="Lognormal",Atividades!D8="Gama"),Atividades!I8,NA()))))))</x:f>
        <x:v>5</x:v>
      </x:c>
      <x:c r="D8" s="50">
        <x:v>0.3</x:v>
      </x:c>
      <x:c r="E8" s="49" t="n">
        <x:f t="shared" si="0">ROUND(B8-F8*C8,2)</x:f>
        <x:v>26600</x:v>
      </x:c>
      <x:c r="F8" s="49" t="n">
        <x:f>IF(Atividades!M8="Apenas fixo",0,IF(D8=0,0,ROUND(B8*D8/C8,2)))</x:f>
        <x:v>2280</x:v>
      </x:c>
      <x:c r="G8" s="49" t="n">
        <x:f t="shared" si="1">E8+F8*C8</x:f>
        <x:v>38000</x:v>
      </x:c>
      <x:c r="H8" s="145" t="inlineStr">
        <x:is>
          <x:t xml:space="preserve">Divisão ILUSTRATIVA entre custos fixos e ocupação de recursos; orçamento de referência preservado.</x:t>
        </x:is>
      </x:c>
      <x:c r="I8" s="48" t="str">
        <x:f>Atividades!M8</x:f>
        <x:v>Fixo + tempo</x:v>
      </x:c>
    </x:row>
    <x:row r="9" ht="36" customHeight="1">
      <x:c r="A9" s="44" t="s">
        <x:v>12</x:v>
      </x:c>
      <x:c r="B9" s="51">
        <x:v>85000</x:v>
      </x:c>
      <x:c r="C9" s="49" t="n">
        <x:f>IF(Atividades!D9="Fixa",Atividades!E9,IF(Atividades!D9="Triangular",(Atividades!F9+Atividades!G9+Atividades!H9)/3,IF(Atividades!D9="Beta-PERT",(Atividades!F9+4*Atividades!G9+Atividades!H9)/6,IF(Atividades!D9="Normal",Atividades!I9,IF(Atividades!D9="Uniforme",(Atividades!F9+Atividades!H9)/2,IF(OR(Atividades!D9="Exponencial",Atividades!D9="Lognormal",Atividades!D9="Gama"),Atividades!I9,NA()))))))</x:f>
        <x:v>5</x:v>
      </x:c>
      <x:c r="D9" s="50">
        <x:v>0.35</x:v>
      </x:c>
      <x:c r="E9" s="49" t="n">
        <x:f t="shared" si="0">ROUND(B9-F9*C9,2)</x:f>
        <x:v>55250</x:v>
      </x:c>
      <x:c r="F9" s="49" t="n">
        <x:f>IF(Atividades!M9="Apenas fixo",0,IF(D9=0,0,ROUND(B9*D9/C9,2)))</x:f>
        <x:v>5950</x:v>
      </x:c>
      <x:c r="G9" s="49" t="n">
        <x:f t="shared" si="1">E9+F9*C9</x:f>
        <x:v>85000</x:v>
      </x:c>
      <x:c r="H9" s="144" t="inlineStr">
        <x:is>
          <x:t xml:space="preserve">Divisão ILUSTRATIVA entre custos fixos e ocupação de recursos; orçamento de referência preservado.</x:t>
        </x:is>
      </x:c>
      <x:c r="I9" s="42" t="str">
        <x:f>Atividades!M9</x:f>
        <x:v>Fixo + tempo</x:v>
      </x:c>
    </x:row>
    <x:row r="10" ht="36" customHeight="1">
      <x:c r="A10" s="52" t="s">
        <x:v>13</x:v>
      </x:c>
      <x:c r="B10" s="51">
        <x:v>82000</x:v>
      </x:c>
      <x:c r="C10" s="49" t="n">
        <x:f>IF(Atividades!D10="Fixa",Atividades!E10,IF(Atividades!D10="Triangular",(Atividades!F10+Atividades!G10+Atividades!H10)/3,IF(Atividades!D10="Beta-PERT",(Atividades!F10+4*Atividades!G10+Atividades!H10)/6,IF(Atividades!D10="Normal",Atividades!I10,IF(Atividades!D10="Uniforme",(Atividades!F10+Atividades!H10)/2,IF(OR(Atividades!D10="Exponencial",Atividades!D10="Lognormal",Atividades!D10="Gama"),Atividades!I10,NA()))))))</x:f>
        <x:v>5</x:v>
      </x:c>
      <x:c r="D10" s="50">
        <x:v>0.35</x:v>
      </x:c>
      <x:c r="E10" s="49" t="n">
        <x:f t="shared" si="0">ROUND(B10-F10*C10,2)</x:f>
        <x:v>53300</x:v>
      </x:c>
      <x:c r="F10" s="49" t="n">
        <x:f>IF(Atividades!M10="Apenas fixo",0,IF(D10=0,0,ROUND(B10*D10/C10,2)))</x:f>
        <x:v>5740</x:v>
      </x:c>
      <x:c r="G10" s="49" t="n">
        <x:f t="shared" si="1">E10+F10*C10</x:f>
        <x:v>82000</x:v>
      </x:c>
      <x:c r="H10" s="145" t="inlineStr">
        <x:is>
          <x:t xml:space="preserve">Divisão ILUSTRATIVA entre custos fixos e ocupação de recursos; orçamento de referência preservado.</x:t>
        </x:is>
      </x:c>
      <x:c r="I10" s="48" t="str">
        <x:f>Atividades!M10</x:f>
        <x:v>Fixo + tempo</x:v>
      </x:c>
    </x:row>
    <x:row r="11" ht="36" customHeight="1">
      <x:c r="A11" s="44" t="s">
        <x:v>14</x:v>
      </x:c>
      <x:c r="B11" s="51">
        <x:v>42000</x:v>
      </x:c>
      <x:c r="C11" s="49" t="n">
        <x:f>IF(Atividades!D11="Fixa",Atividades!E11,IF(Atividades!D11="Triangular",(Atividades!F11+Atividades!G11+Atividades!H11)/3,IF(Atividades!D11="Beta-PERT",(Atividades!F11+4*Atividades!G11+Atividades!H11)/6,IF(Atividades!D11="Normal",Atividades!I11,IF(Atividades!D11="Uniforme",(Atividades!F11+Atividades!H11)/2,IF(OR(Atividades!D11="Exponencial",Atividades!D11="Lognormal",Atividades!D11="Gama"),Atividades!I11,NA()))))))</x:f>
        <x:v>7</x:v>
      </x:c>
      <x:c r="D11" s="50">
        <x:v>0.25</x:v>
      </x:c>
      <x:c r="E11" s="49" t="n">
        <x:f t="shared" si="0">ROUND(B11-F11*C11,2)</x:f>
        <x:v>31500</x:v>
      </x:c>
      <x:c r="F11" s="49" t="n">
        <x:f>IF(Atividades!M11="Apenas fixo",0,IF(D11=0,0,ROUND(B11*D11/C11,2)))</x:f>
        <x:v>1500</x:v>
      </x:c>
      <x:c r="G11" s="49" t="n">
        <x:f t="shared" si="1">E11+F11*C11</x:f>
        <x:v>42000</x:v>
      </x:c>
      <x:c r="H11" s="144" t="inlineStr">
        <x:is>
          <x:t xml:space="preserve">Divisão ILUSTRATIVA entre custos fixos e ocupação de recursos; orçamento de referência preservado.</x:t>
        </x:is>
      </x:c>
      <x:c r="I11" s="42" t="str">
        <x:f>Atividades!M11</x:f>
        <x:v>Fixo + tempo</x:v>
      </x:c>
    </x:row>
    <x:row r="12" ht="36" customHeight="1">
      <x:c r="A12" s="52" t="s">
        <x:v>15</x:v>
      </x:c>
      <x:c r="B12" s="51">
        <x:v>50000</x:v>
      </x:c>
      <x:c r="C12" s="49" t="n">
        <x:f>IF(Atividades!D12="Fixa",Atividades!E12,IF(Atividades!D12="Triangular",(Atividades!F12+Atividades!G12+Atividades!H12)/3,IF(Atividades!D12="Beta-PERT",(Atividades!F12+4*Atividades!G12+Atividades!H12)/6,IF(Atividades!D12="Normal",Atividades!I12,IF(Atividades!D12="Uniforme",(Atividades!F12+Atividades!H12)/2,IF(OR(Atividades!D12="Exponencial",Atividades!D12="Lognormal",Atividades!D12="Gama"),Atividades!I12,NA()))))))</x:f>
        <x:v>10.666666666666666</x:v>
      </x:c>
      <x:c r="D12" s="50">
        <x:v>0.4</x:v>
      </x:c>
      <x:c r="E12" s="49" t="n">
        <x:f t="shared" si="0">ROUND(B12-F12*C12,2)</x:f>
        <x:v>30000</x:v>
      </x:c>
      <x:c r="F12" s="49" t="n">
        <x:f>IF(Atividades!M12="Apenas fixo",0,IF(D12=0,0,ROUND(B12*D12/C12,2)))</x:f>
        <x:v>1875</x:v>
      </x:c>
      <x:c r="G12" s="49" t="n">
        <x:f t="shared" si="1">E12+F12*C12</x:f>
        <x:v>50000</x:v>
      </x:c>
      <x:c r="H12" s="145" t="inlineStr">
        <x:is>
          <x:t xml:space="preserve">Divisão ILUSTRATIVA entre custos fixos e ocupação de recursos; orçamento de referência preservado.</x:t>
        </x:is>
      </x:c>
      <x:c r="I12" s="48" t="str">
        <x:f>Atividades!M12</x:f>
        <x:v>Fixo + tempo</x:v>
      </x:c>
    </x:row>
    <x:row r="13" ht="36" customHeight="1">
      <x:c r="A13" s="44" t="s">
        <x:v>17</x:v>
      </x:c>
      <x:c r="B13" s="51">
        <x:v>32000</x:v>
      </x:c>
      <x:c r="C13" s="49" t="n">
        <x:f>IF(Atividades!D13="Fixa",Atividades!E13,IF(Atividades!D13="Triangular",(Atividades!F13+Atividades!G13+Atividades!H13)/3,IF(Atividades!D13="Beta-PERT",(Atividades!F13+4*Atividades!G13+Atividades!H13)/6,IF(Atividades!D13="Normal",Atividades!I13,IF(Atividades!D13="Uniforme",(Atividades!F13+Atividades!H13)/2,IF(OR(Atividades!D13="Exponencial",Atividades!D13="Lognormal",Atividades!D13="Gama"),Atividades!I13,NA()))))))</x:f>
        <x:v>8.333333333333334</x:v>
      </x:c>
      <x:c r="D13" s="50">
        <x:v>0.45</x:v>
      </x:c>
      <x:c r="E13" s="49" t="n">
        <x:f t="shared" si="0">ROUND(B13-F13*C13,2)</x:f>
        <x:v>17600</x:v>
      </x:c>
      <x:c r="F13" s="49" t="n">
        <x:f>IF(Atividades!M13="Apenas fixo",0,IF(D13=0,0,ROUND(B13*D13/C13,2)))</x:f>
        <x:v>1728</x:v>
      </x:c>
      <x:c r="G13" s="49" t="n">
        <x:f t="shared" si="1">E13+F13*C13</x:f>
        <x:v>32000</x:v>
      </x:c>
      <x:c r="H13" s="144" t="inlineStr">
        <x:is>
          <x:t xml:space="preserve">Divisão ILUSTRATIVA entre custos fixos e ocupação de recursos; orçamento de referência preservado.</x:t>
        </x:is>
      </x:c>
      <x:c r="I13" s="42" t="str">
        <x:f>Atividades!M13</x:f>
        <x:v>Fixo + tempo</x:v>
      </x:c>
    </x:row>
    <x:row r="14" ht="36" customHeight="1">
      <x:c r="A14" s="52" t="s">
        <x:v>19</x:v>
      </x:c>
      <x:c r="B14" s="51">
        <x:v>35000</x:v>
      </x:c>
      <x:c r="C14" s="49" t="n">
        <x:f>IF(Atividades!D14="Fixa",Atividades!E14,IF(Atividades!D14="Triangular",(Atividades!F14+Atividades!G14+Atividades!H14)/3,IF(Atividades!D14="Beta-PERT",(Atividades!F14+4*Atividades!G14+Atividades!H14)/6,IF(Atividades!D14="Normal",Atividades!I14,IF(Atividades!D14="Uniforme",(Atividades!F14+Atividades!H14)/2,IF(OR(Atividades!D14="Exponencial",Atividades!D14="Lognormal",Atividades!D14="Gama"),Atividades!I14,NA()))))))</x:f>
        <x:v>8</x:v>
      </x:c>
      <x:c r="D14" s="50">
        <x:v>0.4</x:v>
      </x:c>
      <x:c r="E14" s="49" t="n">
        <x:f t="shared" si="0">ROUND(B14-F14*C14,2)</x:f>
        <x:v>21000</x:v>
      </x:c>
      <x:c r="F14" s="49" t="n">
        <x:f>IF(Atividades!M14="Apenas fixo",0,IF(D14=0,0,ROUND(B14*D14/C14,2)))</x:f>
        <x:v>1750</x:v>
      </x:c>
      <x:c r="G14" s="49" t="n">
        <x:f t="shared" si="1">E14+F14*C14</x:f>
        <x:v>35000</x:v>
      </x:c>
      <x:c r="H14" s="145" t="inlineStr">
        <x:is>
          <x:t xml:space="preserve">Divisão ILUSTRATIVA entre custos fixos e ocupação de recursos; orçamento de referência preservado.</x:t>
        </x:is>
      </x:c>
      <x:c r="I14" s="48" t="str">
        <x:f>Atividades!M14</x:f>
        <x:v>Fixo + tempo</x:v>
      </x:c>
    </x:row>
    <x:row r="15" ht="36" customHeight="1">
      <x:c r="A15" s="44" t="s">
        <x:v>22</x:v>
      </x:c>
      <x:c r="B15" s="51">
        <x:v>36000</x:v>
      </x:c>
      <x:c r="C15" s="49" t="n">
        <x:f>IF(Atividades!D15="Fixa",Atividades!E15,IF(Atividades!D15="Triangular",(Atividades!F15+Atividades!G15+Atividades!H15)/3,IF(Atividades!D15="Beta-PERT",(Atividades!F15+4*Atividades!G15+Atividades!H15)/6,IF(Atividades!D15="Normal",Atividades!I15,IF(Atividades!D15="Uniforme",(Atividades!F15+Atividades!H15)/2,IF(OR(Atividades!D15="Exponencial",Atividades!D15="Lognormal",Atividades!D15="Gama"),Atividades!I15,NA()))))))</x:f>
        <x:v>8</x:v>
      </x:c>
      <x:c r="D15" s="50">
        <x:v>0.4</x:v>
      </x:c>
      <x:c r="E15" s="49" t="n">
        <x:f t="shared" si="0">ROUND(B15-F15*C15,2)</x:f>
        <x:v>21600</x:v>
      </x:c>
      <x:c r="F15" s="49" t="n">
        <x:f>IF(Atividades!M15="Apenas fixo",0,IF(D15=0,0,ROUND(B15*D15/C15,2)))</x:f>
        <x:v>1800</x:v>
      </x:c>
      <x:c r="G15" s="49" t="n">
        <x:f t="shared" si="1">E15+F15*C15</x:f>
        <x:v>36000</x:v>
      </x:c>
      <x:c r="H15" s="144" t="inlineStr">
        <x:is>
          <x:t xml:space="preserve">Divisão ILUSTRATIVA entre custos fixos e ocupação de recursos; orçamento de referência preservado.</x:t>
        </x:is>
      </x:c>
      <x:c r="I15" s="42" t="str">
        <x:f>Atividades!M15</x:f>
        <x:v>Fixo + tempo</x:v>
      </x:c>
    </x:row>
    <x:row r="16" ht="36" customHeight="1">
      <x:c r="A16" s="52" t="s">
        <x:v>23</x:v>
      </x:c>
      <x:c r="B16" s="51">
        <x:v>28000</x:v>
      </x:c>
      <x:c r="C16" s="49" t="n">
        <x:f>IF(Atividades!D16="Fixa",Atividades!E16,IF(Atividades!D16="Triangular",(Atividades!F16+Atividades!G16+Atividades!H16)/3,IF(Atividades!D16="Beta-PERT",(Atividades!F16+4*Atividades!G16+Atividades!H16)/6,IF(Atividades!D16="Normal",Atividades!I16,IF(Atividades!D16="Uniforme",(Atividades!F16+Atividades!H16)/2,IF(OR(Atividades!D16="Exponencial",Atividades!D16="Lognormal",Atividades!D16="Gama"),Atividades!I16,NA()))))))</x:f>
        <x:v>6.666666666666667</x:v>
      </x:c>
      <x:c r="D16" s="50">
        <x:v>0.35</x:v>
      </x:c>
      <x:c r="E16" s="49" t="n">
        <x:f t="shared" si="0">ROUND(B16-F16*C16,2)</x:f>
        <x:v>18200</x:v>
      </x:c>
      <x:c r="F16" s="49" t="n">
        <x:f>IF(Atividades!M16="Apenas fixo",0,IF(D16=0,0,ROUND(B16*D16/C16,2)))</x:f>
        <x:v>1470</x:v>
      </x:c>
      <x:c r="G16" s="49" t="n">
        <x:f t="shared" si="1">E16+F16*C16</x:f>
        <x:v>28000</x:v>
      </x:c>
      <x:c r="H16" s="145" t="inlineStr">
        <x:is>
          <x:t xml:space="preserve">Divisão ILUSTRATIVA entre custos fixos e ocupação de recursos; orçamento de referência preservado.</x:t>
        </x:is>
      </x:c>
      <x:c r="I16" s="48" t="str">
        <x:f>Atividades!M16</x:f>
        <x:v>Fixo + tempo</x:v>
      </x:c>
    </x:row>
    <x:row r="17" ht="36" customHeight="1">
      <x:c r="A17" s="44" t="s">
        <x:v>24</x:v>
      </x:c>
      <x:c r="B17" s="51">
        <x:v>45000</x:v>
      </x:c>
      <x:c r="C17" s="49" t="n">
        <x:f>IF(Atividades!D17="Fixa",Atividades!E17,IF(Atividades!D17="Triangular",(Atividades!F17+Atividades!G17+Atividades!H17)/3,IF(Atividades!D17="Beta-PERT",(Atividades!F17+4*Atividades!G17+Atividades!H17)/6,IF(Atividades!D17="Normal",Atividades!I17,IF(Atividades!D17="Uniforme",(Atividades!F17+Atividades!H17)/2,IF(OR(Atividades!D17="Exponencial",Atividades!D17="Lognormal",Atividades!D17="Gama"),Atividades!I17,NA()))))))</x:f>
        <x:v>6.333333333333333</x:v>
      </x:c>
      <x:c r="D17" s="50">
        <x:v>0.15</x:v>
      </x:c>
      <x:c r="E17" s="49" t="n">
        <x:f t="shared" si="0">ROUND(B17-F17*C17,2)</x:f>
        <x:v>45000</x:v>
      </x:c>
      <x:c r="F17" s="49" t="n">
        <x:f>IF(Atividades!M17="Apenas fixo",0,IF(D17=0,0,ROUND(B17*D17/C17,2)))</x:f>
        <x:v>0</x:v>
      </x:c>
      <x:c r="G17" s="49" t="n">
        <x:f t="shared" si="1">E17+F17*C17</x:f>
        <x:v>45000</x:v>
      </x:c>
      <x:c r="H17" s="144" t="inlineStr">
        <x:is>
          <x:t xml:space="preserve">Pacote/taxa de preço fixo ILUSTRATIVO; variações ordinárias da duração não alteram o preço. Custos diretos explícitos dos riscos permanecem separados.</x:t>
        </x:is>
      </x:c>
      <x:c r="I17" s="42" t="str">
        <x:f>Atividades!M17</x:f>
        <x:v>Apenas fixo</x:v>
      </x:c>
    </x:row>
    <x:row r="18" ht="36" customHeight="1">
      <x:c r="A18" s="52" t="s">
        <x:v>26</x:v>
      </x:c>
      <x:c r="B18" s="51">
        <x:v>22000</x:v>
      </x:c>
      <x:c r="C18" s="49" t="n">
        <x:f>IF(Atividades!D18="Fixa",Atividades!E18,IF(Atividades!D18="Triangular",(Atividades!F18+Atividades!G18+Atividades!H18)/3,IF(Atividades!D18="Beta-PERT",(Atividades!F18+4*Atividades!G18+Atividades!H18)/6,IF(Atividades!D18="Normal",Atividades!I18,IF(Atividades!D18="Uniforme",(Atividades!F18+Atividades!H18)/2,IF(OR(Atividades!D18="Exponencial",Atividades!D18="Lognormal",Atividades!D18="Gama"),Atividades!I18,NA()))))))</x:f>
        <x:v>5</x:v>
      </x:c>
      <x:c r="D18" s="50">
        <x:v>0.3</x:v>
      </x:c>
      <x:c r="E18" s="49" t="n">
        <x:f t="shared" si="0">ROUND(B18-F18*C18,2)</x:f>
        <x:v>15400</x:v>
      </x:c>
      <x:c r="F18" s="49" t="n">
        <x:f>IF(Atividades!M18="Apenas fixo",0,IF(D18=0,0,ROUND(B18*D18/C18,2)))</x:f>
        <x:v>1320</x:v>
      </x:c>
      <x:c r="G18" s="49" t="n">
        <x:f t="shared" si="1">E18+F18*C18</x:f>
        <x:v>22000</x:v>
      </x:c>
      <x:c r="H18" s="145" t="inlineStr">
        <x:is>
          <x:t xml:space="preserve">Divisão ILUSTRATIVA entre custos fixos e ocupação de recursos; orçamento de referência preservado.</x:t>
        </x:is>
      </x:c>
      <x:c r="I18" s="48" t="str">
        <x:f>Atividades!M18</x:f>
        <x:v>Fixo + tempo</x:v>
      </x:c>
    </x:row>
    <x:row r="19" ht="36" customHeight="1">
      <x:c r="A19" s="44" t="s">
        <x:v>28</x:v>
      </x:c>
      <x:c r="B19" s="51">
        <x:v>40000</x:v>
      </x:c>
      <x:c r="C19" s="49" t="n">
        <x:f>IF(Atividades!D19="Fixa",Atividades!E19,IF(Atividades!D19="Triangular",(Atividades!F19+Atividades!G19+Atividades!H19)/3,IF(Atividades!D19="Beta-PERT",(Atividades!F19+4*Atividades!G19+Atividades!H19)/6,IF(Atividades!D19="Normal",Atividades!I19,IF(Atividades!D19="Uniforme",(Atividades!F19+Atividades!H19)/2,IF(OR(Atividades!D19="Exponencial",Atividades!D19="Lognormal",Atividades!D19="Gama"),Atividades!I19,NA()))))))</x:f>
        <x:v>9</x:v>
      </x:c>
      <x:c r="D19" s="50">
        <x:v>0.45</x:v>
      </x:c>
      <x:c r="E19" s="49" t="n">
        <x:f t="shared" si="0">ROUND(B19-F19*C19,2)</x:f>
        <x:v>22000</x:v>
      </x:c>
      <x:c r="F19" s="49" t="n">
        <x:f>IF(Atividades!M19="Apenas fixo",0,IF(D19=0,0,ROUND(B19*D19/C19,2)))</x:f>
        <x:v>2000</x:v>
      </x:c>
      <x:c r="G19" s="49" t="n">
        <x:f t="shared" si="1">E19+F19*C19</x:f>
        <x:v>40000</x:v>
      </x:c>
      <x:c r="H19" s="144" t="inlineStr">
        <x:is>
          <x:t xml:space="preserve">Divisão ILUSTRATIVA entre custos fixos e ocupação de recursos; orçamento de referência preservado.</x:t>
        </x:is>
      </x:c>
      <x:c r="I19" s="42" t="str">
        <x:f>Atividades!M19</x:f>
        <x:v>Fixo + tempo</x:v>
      </x:c>
    </x:row>
    <x:row r="20" ht="36" customHeight="1">
      <x:c r="A20" s="52" t="s">
        <x:v>30</x:v>
      </x:c>
      <x:c r="B20" s="51">
        <x:v>48000</x:v>
      </x:c>
      <x:c r="C20" s="49" t="n">
        <x:f>IF(Atividades!D20="Fixa",Atividades!E20,IF(Atividades!D20="Triangular",(Atividades!F20+Atividades!G20+Atividades!H20)/3,IF(Atividades!D20="Beta-PERT",(Atividades!F20+4*Atividades!G20+Atividades!H20)/6,IF(Atividades!D20="Normal",Atividades!I20,IF(Atividades!D20="Uniforme",(Atividades!F20+Atividades!H20)/2,IF(OR(Atividades!D20="Exponencial",Atividades!D20="Lognormal",Atividades!D20="Gama"),Atividades!I20,NA()))))))</x:f>
        <x:v>9.666666666666666</x:v>
      </x:c>
      <x:c r="D20" s="50">
        <x:v>0.4</x:v>
      </x:c>
      <x:c r="E20" s="49" t="n">
        <x:f t="shared" si="0">ROUND(B20-F20*C20,2)</x:f>
        <x:v>28799.97</x:v>
      </x:c>
      <x:c r="F20" s="49" t="n">
        <x:f>IF(Atividades!M20="Apenas fixo",0,IF(D20=0,0,ROUND(B20*D20/C20,2)))</x:f>
        <x:v>1986.21</x:v>
      </x:c>
      <x:c r="G20" s="49" t="n">
        <x:f t="shared" si="1">E20+F20*C20</x:f>
        <x:v>48000</x:v>
      </x:c>
      <x:c r="H20" s="145" t="inlineStr">
        <x:is>
          <x:t xml:space="preserve">Divisão ILUSTRATIVA entre custos fixos e ocupação de recursos; orçamento de referência preservado.</x:t>
        </x:is>
      </x:c>
      <x:c r="I20" s="48" t="str">
        <x:f>Atividades!M20</x:f>
        <x:v>Fixo + tempo</x:v>
      </x:c>
    </x:row>
    <x:row r="21" ht="36" customHeight="1">
      <x:c r="A21" s="44" t="s">
        <x:v>31</x:v>
      </x:c>
      <x:c r="B21" s="51">
        <x:v>52000</x:v>
      </x:c>
      <x:c r="C21" s="49" t="n">
        <x:f>IF(Atividades!D21="Fixa",Atividades!E21,IF(Atividades!D21="Triangular",(Atividades!F21+Atividades!G21+Atividades!H21)/3,IF(Atividades!D21="Beta-PERT",(Atividades!F21+4*Atividades!G21+Atividades!H21)/6,IF(Atividades!D21="Normal",Atividades!I21,IF(Atividades!D21="Uniforme",(Atividades!F21+Atividades!H21)/2,IF(OR(Atividades!D21="Exponencial",Atividades!D21="Lognormal",Atividades!D21="Gama"),Atividades!I21,NA()))))))</x:f>
        <x:v>9.166666666666666</x:v>
      </x:c>
      <x:c r="D21" s="50">
        <x:v>0.35</x:v>
      </x:c>
      <x:c r="E21" s="49" t="n">
        <x:f t="shared" si="0">ROUND(B21-F21*C21,2)</x:f>
        <x:v>33800.04</x:v>
      </x:c>
      <x:c r="F21" s="49" t="n">
        <x:f>IF(Atividades!M21="Apenas fixo",0,IF(D21=0,0,ROUND(B21*D21/C21,2)))</x:f>
        <x:v>1985.45</x:v>
      </x:c>
      <x:c r="G21" s="49" t="n">
        <x:f t="shared" si="1">E21+F21*C21</x:f>
        <x:v>51999.99833333334</x:v>
      </x:c>
      <x:c r="H21" s="144" t="inlineStr">
        <x:is>
          <x:t xml:space="preserve">Divisão ILUSTRATIVA entre custos fixos e ocupação de recursos; orçamento de referência preservado.</x:t>
        </x:is>
      </x:c>
      <x:c r="I21" s="42" t="str">
        <x:f>Atividades!M21</x:f>
        <x:v>Fixo + tempo</x:v>
      </x:c>
    </x:row>
    <x:row r="22" ht="36" customHeight="1">
      <x:c r="A22" s="52" t="s">
        <x:v>33</x:v>
      </x:c>
      <x:c r="B22" s="51">
        <x:v>26000</x:v>
      </x:c>
      <x:c r="C22" s="49" t="n">
        <x:f>IF(Atividades!D22="Fixa",Atividades!E22,IF(Atividades!D22="Triangular",(Atividades!F22+Atividades!G22+Atividades!H22)/3,IF(Atividades!D22="Beta-PERT",(Atividades!F22+4*Atividades!G22+Atividades!H22)/6,IF(Atividades!D22="Normal",Atividades!I22,IF(Atividades!D22="Uniforme",(Atividades!F22+Atividades!H22)/2,IF(OR(Atividades!D22="Exponencial",Atividades!D22="Lognormal",Atividades!D22="Gama"),Atividades!I22,NA()))))))</x:f>
        <x:v>6</x:v>
      </x:c>
      <x:c r="D22" s="50">
        <x:v>0.45</x:v>
      </x:c>
      <x:c r="E22" s="49" t="n">
        <x:f t="shared" si="0">ROUND(B22-F22*C22,2)</x:f>
        <x:v>14300</x:v>
      </x:c>
      <x:c r="F22" s="49" t="n">
        <x:f>IF(Atividades!M22="Apenas fixo",0,IF(D22=0,0,ROUND(B22*D22/C22,2)))</x:f>
        <x:v>1950</x:v>
      </x:c>
      <x:c r="G22" s="49" t="n">
        <x:f t="shared" si="1">E22+F22*C22</x:f>
        <x:v>26000</x:v>
      </x:c>
      <x:c r="H22" s="145" t="inlineStr">
        <x:is>
          <x:t xml:space="preserve">Divisão ILUSTRATIVA entre custos fixos e ocupação de recursos; orçamento de referência preservado.</x:t>
        </x:is>
      </x:c>
      <x:c r="I22" s="48" t="str">
        <x:f>Atividades!M22</x:f>
        <x:v>Fixo + tempo</x:v>
      </x:c>
    </x:row>
    <x:row r="23" ht="36" customHeight="1">
      <x:c r="A23" s="44" t="s">
        <x:v>34</x:v>
      </x:c>
      <x:c r="B23" s="51">
        <x:v>38000</x:v>
      </x:c>
      <x:c r="C23" s="49" t="n">
        <x:f>IF(Atividades!D23="Fixa",Atividades!E23,IF(Atividades!D23="Triangular",(Atividades!F23+Atividades!G23+Atividades!H23)/3,IF(Atividades!D23="Beta-PERT",(Atividades!F23+4*Atividades!G23+Atividades!H23)/6,IF(Atividades!D23="Normal",Atividades!I23,IF(Atividades!D23="Uniforme",(Atividades!F23+Atividades!H23)/2,IF(OR(Atividades!D23="Exponencial",Atividades!D23="Lognormal",Atividades!D23="Gama"),Atividades!I23,NA()))))))</x:f>
        <x:v>9</x:v>
      </x:c>
      <x:c r="D23" s="50">
        <x:v>0.5</x:v>
      </x:c>
      <x:c r="E23" s="49" t="n">
        <x:f t="shared" si="0">ROUND(B23-F23*C23,2)</x:f>
        <x:v>19000.01</x:v>
      </x:c>
      <x:c r="F23" s="49" t="n">
        <x:f>IF(Atividades!M23="Apenas fixo",0,IF(D23=0,0,ROUND(B23*D23/C23,2)))</x:f>
        <x:v>2111.11</x:v>
      </x:c>
      <x:c r="G23" s="49" t="n">
        <x:f t="shared" si="1">E23+F23*C23</x:f>
        <x:v>38000</x:v>
      </x:c>
      <x:c r="H23" s="144" t="inlineStr">
        <x:is>
          <x:t xml:space="preserve">Divisão ILUSTRATIVA entre custos fixos e ocupação de recursos; orçamento de referência preservado.</x:t>
        </x:is>
      </x:c>
      <x:c r="I23" s="42" t="str">
        <x:f>Atividades!M23</x:f>
        <x:v>Fixo + tempo</x:v>
      </x:c>
    </x:row>
    <x:row r="24" ht="36" customHeight="1">
      <x:c r="A24" s="52" t="s">
        <x:v>36</x:v>
      </x:c>
      <x:c r="B24" s="51">
        <x:v>30000</x:v>
      </x:c>
      <x:c r="C24" s="49" t="n">
        <x:f>IF(Atividades!D24="Fixa",Atividades!E24,IF(Atividades!D24="Triangular",(Atividades!F24+Atividades!G24+Atividades!H24)/3,IF(Atividades!D24="Beta-PERT",(Atividades!F24+4*Atividades!G24+Atividades!H24)/6,IF(Atividades!D24="Normal",Atividades!I24,IF(Atividades!D24="Uniforme",(Atividades!F24+Atividades!H24)/2,IF(OR(Atividades!D24="Exponencial",Atividades!D24="Lognormal",Atividades!D24="Gama"),Atividades!I24,NA()))))))</x:f>
        <x:v>6.333333333333333</x:v>
      </x:c>
      <x:c r="D24" s="50">
        <x:v>0.25</x:v>
      </x:c>
      <x:c r="E24" s="49" t="n">
        <x:f t="shared" si="0">ROUND(B24-F24*C24,2)</x:f>
        <x:v>30000</x:v>
      </x:c>
      <x:c r="F24" s="49" t="n">
        <x:f>IF(Atividades!M24="Apenas fixo",0,IF(D24=0,0,ROUND(B24*D24/C24,2)))</x:f>
        <x:v>0</x:v>
      </x:c>
      <x:c r="G24" s="49" t="n">
        <x:f t="shared" si="1">E24+F24*C24</x:f>
        <x:v>30000</x:v>
      </x:c>
      <x:c r="H24" s="145" t="inlineStr">
        <x:is>
          <x:t xml:space="preserve">Pacote/taxa de preço fixo ILUSTRATIVO; variações ordinárias da duração não alteram o preço. Custos diretos explícitos dos riscos permanecem separados.</x:t>
        </x:is>
      </x:c>
      <x:c r="I24" s="48" t="str">
        <x:f>Atividades!M24</x:f>
        <x:v>Apenas fixo</x:v>
      </x:c>
    </x:row>
    <x:row r="25" ht="36" customHeight="1">
      <x:c r="A25" s="44" t="s">
        <x:v>38</x:v>
      </x:c>
      <x:c r="B25" s="51">
        <x:v>32000</x:v>
      </x:c>
      <x:c r="C25" s="49" t="n">
        <x:f>IF(Atividades!D25="Fixa",Atividades!E25,IF(Atividades!D25="Triangular",(Atividades!F25+Atividades!G25+Atividades!H25)/3,IF(Atividades!D25="Beta-PERT",(Atividades!F25+4*Atividades!G25+Atividades!H25)/6,IF(Atividades!D25="Normal",Atividades!I25,IF(Atividades!D25="Uniforme",(Atividades!F25+Atividades!H25)/2,IF(OR(Atividades!D25="Exponencial",Atividades!D25="Lognormal",Atividades!D25="Gama"),Atividades!I25,NA()))))))</x:f>
        <x:v>6.166666666666667</x:v>
      </x:c>
      <x:c r="D25" s="50">
        <x:v>0.25</x:v>
      </x:c>
      <x:c r="E25" s="49" t="n">
        <x:f t="shared" si="0">ROUND(B25-F25*C25,2)</x:f>
        <x:v>32000</x:v>
      </x:c>
      <x:c r="F25" s="49" t="n">
        <x:f>IF(Atividades!M25="Apenas fixo",0,IF(D25=0,0,ROUND(B25*D25/C25,2)))</x:f>
        <x:v>0</x:v>
      </x:c>
      <x:c r="G25" s="49" t="n">
        <x:f t="shared" si="1">E25+F25*C25</x:f>
        <x:v>32000</x:v>
      </x:c>
      <x:c r="H25" s="144" t="inlineStr">
        <x:is>
          <x:t xml:space="preserve">Pacote/taxa de preço fixo ILUSTRATIVO; variações ordinárias da duração não alteram o preço. Custos diretos explícitos dos riscos permanecem separados.</x:t>
        </x:is>
      </x:c>
      <x:c r="I25" s="42" t="str">
        <x:f>Atividades!M25</x:f>
        <x:v>Apenas fixo</x:v>
      </x:c>
    </x:row>
    <x:row r="26" ht="36" customHeight="1">
      <x:c r="A26" s="52" t="s">
        <x:v>39</x:v>
      </x:c>
      <x:c r="B26" s="51">
        <x:v>42000</x:v>
      </x:c>
      <x:c r="C26" s="49" t="n">
        <x:f>IF(Atividades!D26="Fixa",Atividades!E26,IF(Atividades!D26="Triangular",(Atividades!F26+Atividades!G26+Atividades!H26)/3,IF(Atividades!D26="Beta-PERT",(Atividades!F26+4*Atividades!G26+Atividades!H26)/6,IF(Atividades!D26="Normal",Atividades!I26,IF(Atividades!D26="Uniforme",(Atividades!F26+Atividades!H26)/2,IF(OR(Atividades!D26="Exponencial",Atividades!D26="Lognormal",Atividades!D26="Gama"),Atividades!I26,NA()))))))</x:f>
        <x:v>8</x:v>
      </x:c>
      <x:c r="D26" s="50">
        <x:v>0.2</x:v>
      </x:c>
      <x:c r="E26" s="49" t="n">
        <x:f t="shared" si="0">ROUND(B26-F26*C26,2)</x:f>
        <x:v>42000</x:v>
      </x:c>
      <x:c r="F26" s="49" t="n">
        <x:f>IF(Atividades!M26="Apenas fixo",0,IF(D26=0,0,ROUND(B26*D26/C26,2)))</x:f>
        <x:v>0</x:v>
      </x:c>
      <x:c r="G26" s="49" t="n">
        <x:f t="shared" si="1">E26+F26*C26</x:f>
        <x:v>42000</x:v>
      </x:c>
      <x:c r="H26" s="145" t="inlineStr">
        <x:is>
          <x:t xml:space="preserve">Pacote/taxa de preço fixo ILUSTRATIVO; variações ordinárias da duração não alteram o preço. Custos diretos explícitos dos riscos permanecem separados.</x:t>
        </x:is>
      </x:c>
      <x:c r="I26" s="48" t="str">
        <x:f>Atividades!M26</x:f>
        <x:v>Apenas fixo</x:v>
      </x:c>
    </x:row>
    <x:row r="27" ht="36" customHeight="1">
      <x:c r="A27" s="44" t="s">
        <x:v>41</x:v>
      </x:c>
      <x:c r="B27" s="51">
        <x:v>55000</x:v>
      </x:c>
      <x:c r="C27" s="49" t="n">
        <x:f>IF(Atividades!D27="Fixa",Atividades!E27,IF(Atividades!D27="Triangular",(Atividades!F27+Atividades!G27+Atividades!H27)/3,IF(Atividades!D27="Beta-PERT",(Atividades!F27+4*Atividades!G27+Atividades!H27)/6,IF(Atividades!D27="Normal",Atividades!I27,IF(Atividades!D27="Uniforme",(Atividades!F27+Atividades!H27)/2,IF(OR(Atividades!D27="Exponencial",Atividades!D27="Lognormal",Atividades!D27="Gama"),Atividades!I27,NA()))))))</x:f>
        <x:v>9</x:v>
      </x:c>
      <x:c r="D27" s="50">
        <x:v>0.4</x:v>
      </x:c>
      <x:c r="E27" s="49" t="n">
        <x:f t="shared" si="0">ROUND(B27-F27*C27,2)</x:f>
        <x:v>33000.04</x:v>
      </x:c>
      <x:c r="F27" s="49" t="n">
        <x:f>IF(Atividades!M27="Apenas fixo",0,IF(D27=0,0,ROUND(B27*D27/C27,2)))</x:f>
        <x:v>2444.44</x:v>
      </x:c>
      <x:c r="G27" s="49" t="n">
        <x:f t="shared" si="1">E27+F27*C27</x:f>
        <x:v>55000</x:v>
      </x:c>
      <x:c r="H27" s="144" t="inlineStr">
        <x:is>
          <x:t xml:space="preserve">Divisão ILUSTRATIVA entre custos fixos e ocupação de recursos; orçamento de referência preservado.</x:t>
        </x:is>
      </x:c>
      <x:c r="I27" s="42" t="str">
        <x:f>Atividades!M27</x:f>
        <x:v>Fixo + tempo</x:v>
      </x:c>
    </x:row>
    <x:row r="28" ht="36" customHeight="1">
      <x:c r="A28" s="52" t="s">
        <x:v>42</x:v>
      </x:c>
      <x:c r="B28" s="51">
        <x:v>18000</x:v>
      </x:c>
      <x:c r="C28" s="49" t="n">
        <x:f>IF(Atividades!D28="Fixa",Atividades!E28,IF(Atividades!D28="Triangular",(Atividades!F28+Atividades!G28+Atividades!H28)/3,IF(Atividades!D28="Beta-PERT",(Atividades!F28+4*Atividades!G28+Atividades!H28)/6,IF(Atividades!D28="Normal",Atividades!I28,IF(Atividades!D28="Uniforme",(Atividades!F28+Atividades!H28)/2,IF(OR(Atividades!D28="Exponencial",Atividades!D28="Lognormal",Atividades!D28="Gama"),Atividades!I28,NA()))))))</x:f>
        <x:v>5.333333333333333</x:v>
      </x:c>
      <x:c r="D28" s="50">
        <x:v>0.45</x:v>
      </x:c>
      <x:c r="E28" s="49" t="n">
        <x:f t="shared" si="0">ROUND(B28-F28*C28,2)</x:f>
        <x:v>9900</x:v>
      </x:c>
      <x:c r="F28" s="49" t="n">
        <x:f>IF(Atividades!M28="Apenas fixo",0,IF(D28=0,0,ROUND(B28*D28/C28,2)))</x:f>
        <x:v>1518.75</x:v>
      </x:c>
      <x:c r="G28" s="49" t="n">
        <x:f t="shared" si="1">E28+F28*C28</x:f>
        <x:v>18000</x:v>
      </x:c>
      <x:c r="H28" s="145" t="inlineStr">
        <x:is>
          <x:t xml:space="preserve">Divisão ILUSTRATIVA entre custos fixos e ocupação de recursos; orçamento de referência preservado.</x:t>
        </x:is>
      </x:c>
      <x:c r="I28" s="48" t="str">
        <x:f>Atividades!M28</x:f>
        <x:v>Fixo + tempo</x:v>
      </x:c>
    </x:row>
    <x:row r="29" ht="36" customHeight="1">
      <x:c r="A29" s="44" t="s">
        <x:v>43</x:v>
      </x:c>
      <x:c r="B29" s="51">
        <x:v>20000</x:v>
      </x:c>
      <x:c r="C29" s="49" t="n">
        <x:f>IF(Atividades!D29="Fixa",Atividades!E29,IF(Atividades!D29="Triangular",(Atividades!F29+Atividades!G29+Atividades!H29)/3,IF(Atividades!D29="Beta-PERT",(Atividades!F29+4*Atividades!G29+Atividades!H29)/6,IF(Atividades!D29="Normal",Atividades!I29,IF(Atividades!D29="Uniforme",(Atividades!F29+Atividades!H29)/2,IF(OR(Atividades!D29="Exponencial",Atividades!D29="Lognormal",Atividades!D29="Gama"),Atividades!I29,NA()))))))</x:f>
        <x:v>6.333333333333333</x:v>
      </x:c>
      <x:c r="D29" s="50">
        <x:v>0.6</x:v>
      </x:c>
      <x:c r="E29" s="49" t="n">
        <x:f t="shared" si="0">ROUND(B29-F29*C29,2)</x:f>
        <x:v>7999.98</x:v>
      </x:c>
      <x:c r="F29" s="49" t="n">
        <x:f>IF(Atividades!M29="Apenas fixo",0,IF(D29=0,0,ROUND(B29*D29/C29,2)))</x:f>
        <x:v>1894.74</x:v>
      </x:c>
      <x:c r="G29" s="49" t="n">
        <x:f t="shared" si="1">E29+F29*C29</x:f>
        <x:v>20000</x:v>
      </x:c>
      <x:c r="H29" s="144" t="inlineStr">
        <x:is>
          <x:t xml:space="preserve">Divisão ILUSTRATIVA entre custos fixos e ocupação de recursos; orçamento de referência preservado.</x:t>
        </x:is>
      </x:c>
      <x:c r="I29" s="42" t="str">
        <x:f>Atividades!M29</x:f>
        <x:v>Fixo + tempo</x:v>
      </x:c>
    </x:row>
    <x:row r="30" ht="36" customHeight="1">
      <x:c r="A30" s="52" t="s">
        <x:v>45</x:v>
      </x:c>
      <x:c r="B30" s="51">
        <x:v>15000</x:v>
      </x:c>
      <x:c r="C30" s="49" t="n">
        <x:f>IF(Atividades!D30="Fixa",Atividades!E30,IF(Atividades!D30="Triangular",(Atividades!F30+Atividades!G30+Atividades!H30)/3,IF(Atividades!D30="Beta-PERT",(Atividades!F30+4*Atividades!G30+Atividades!H30)/6,IF(Atividades!D30="Normal",Atividades!I30,IF(Atividades!D30="Uniforme",(Atividades!F30+Atividades!H30)/2,IF(OR(Atividades!D30="Exponencial",Atividades!D30="Lognormal",Atividades!D30="Gama"),Atividades!I30,NA()))))))</x:f>
        <x:v>5</x:v>
      </x:c>
      <x:c r="D30" s="50">
        <x:v>0.5</x:v>
      </x:c>
      <x:c r="E30" s="49" t="n">
        <x:f t="shared" si="0">ROUND(B30-F30*C30,2)</x:f>
        <x:v>7500</x:v>
      </x:c>
      <x:c r="F30" s="49" t="n">
        <x:f>IF(Atividades!M30="Apenas fixo",0,IF(D30=0,0,ROUND(B30*D30/C30,2)))</x:f>
        <x:v>1500</x:v>
      </x:c>
      <x:c r="G30" s="49" t="n">
        <x:f t="shared" si="1">E30+F30*C30</x:f>
        <x:v>15000</x:v>
      </x:c>
      <x:c r="H30" s="145" t="inlineStr">
        <x:is>
          <x:t xml:space="preserve">Divisão ILUSTRATIVA entre custos fixos e ocupação de recursos; orçamento de referência preservado.</x:t>
        </x:is>
      </x:c>
      <x:c r="I30" s="48" t="str">
        <x:f>Atividades!M30</x:f>
        <x:v>Fixo + tempo</x:v>
      </x:c>
    </x:row>
    <x:row r="31" ht="36" customHeight="1">
      <x:c r="A31" s="44" t="s">
        <x:v>47</x:v>
      </x:c>
      <x:c r="B31" s="51">
        <x:v>10000</x:v>
      </x:c>
      <x:c r="C31" s="49" t="n">
        <x:f>IF(Atividades!D31="Fixa",Atividades!E31,IF(Atividades!D31="Triangular",(Atividades!F31+Atividades!G31+Atividades!H31)/3,IF(Atividades!D31="Beta-PERT",(Atividades!F31+4*Atividades!G31+Atividades!H31)/6,IF(Atividades!D31="Normal",Atividades!I31,IF(Atividades!D31="Uniforme",(Atividades!F31+Atividades!H31)/2,IF(OR(Atividades!D31="Exponencial",Atividades!D31="Lognormal",Atividades!D31="Gama"),Atividades!I31,NA()))))))</x:f>
        <x:v>4.333333333333333</x:v>
      </x:c>
      <x:c r="D31" s="50">
        <x:v>0.3</x:v>
      </x:c>
      <x:c r="E31" s="49" t="n">
        <x:f t="shared" si="0">ROUND(B31-F31*C31,2)</x:f>
        <x:v>10000</x:v>
      </x:c>
      <x:c r="F31" s="49" t="n">
        <x:f>IF(Atividades!M31="Apenas fixo",0,IF(D31=0,0,ROUND(B31*D31/C31,2)))</x:f>
        <x:v>0</x:v>
      </x:c>
      <x:c r="G31" s="49" t="n">
        <x:f t="shared" si="1">E31+F31*C31</x:f>
        <x:v>10000</x:v>
      </x:c>
      <x:c r="H31" s="144" t="inlineStr">
        <x:is>
          <x:t xml:space="preserve">Pacote/taxa de preço fixo ILUSTRATIVO; variações ordinárias da duração não alteram o preço. Custos diretos explícitos dos riscos permanecem separados.</x:t>
        </x:is>
      </x:c>
      <x:c r="I31" s="42" t="str">
        <x:f>Atividades!M31</x:f>
        <x:v>Apenas fixo</x:v>
      </x:c>
    </x:row>
    <x:row r="32" ht="36" customHeight="1">
      <x:c r="A32" s="52" t="s">
        <x:v>49</x:v>
      </x:c>
      <x:c r="B32" s="51">
        <x:v>8000</x:v>
      </x:c>
      <x:c r="C32" s="49" t="n">
        <x:f>IF(Atividades!D32="Fixa",Atividades!E32,IF(Atividades!D32="Triangular",(Atividades!F32+Atividades!G32+Atividades!H32)/3,IF(Atividades!D32="Beta-PERT",(Atividades!F32+4*Atividades!G32+Atividades!H32)/6,IF(Atividades!D32="Normal",Atividades!I32,IF(Atividades!D32="Uniforme",(Atividades!F32+Atividades!H32)/2,IF(OR(Atividades!D32="Exponencial",Atividades!D32="Lognormal",Atividades!D32="Gama"),Atividades!I32,NA()))))))</x:f>
        <x:v>2.1666666666666665</x:v>
      </x:c>
      <x:c r="D32" s="50">
        <x:v>0.5</x:v>
      </x:c>
      <x:c r="E32" s="49" t="n">
        <x:f t="shared" si="0">ROUND(B32-F32*C32,2)</x:f>
        <x:v>8000</x:v>
      </x:c>
      <x:c r="F32" s="49" t="n">
        <x:f>IF(Atividades!M32="Apenas fixo",0,IF(D32=0,0,ROUND(B32*D32/C32,2)))</x:f>
        <x:v>0</x:v>
      </x:c>
      <x:c r="G32" s="49" t="n">
        <x:f t="shared" si="1">E32+F32*C32</x:f>
        <x:v>8000</x:v>
      </x:c>
      <x:c r="H32" s="145" t="inlineStr">
        <x:is>
          <x:t xml:space="preserve">Pacote/taxa de preço fixo ILUSTRATIVO; variações ordinárias da duração não alteram o preço. Custos diretos explícitos dos riscos permanecem separados.</x:t>
        </x:is>
      </x:c>
      <x:c r="I32" s="48" t="str">
        <x:f>Atividades!M32</x:f>
        <x:v>Apenas fixo</x:v>
      </x:c>
    </x:row>
  </x:sheetData>
  <x:mergeCells>
    <x:mergeCell ref="A1:I1"/>
  </x:mergeCells>
  <x:conditionalFormatting sqref="D3:D32">
    <x:cfRule type="expression" dxfId="0" priority="1">
      <x:formula>$I3="Apenas fixo"</x:formula>
    </x:cfRule>
  </x:conditionalFormatting>
  <x:dataValidations count="2">
    <x:dataValidation type="decimal" showErrorMessage="1" sqref="D3:D32">
      <x:formula1>0</x:formula1>
      <x:formula2>1</x:formula2>
    </x:dataValidation>
    <x:dataValidation type="decimal" operator="greaterThanOrEqual" showErrorMessage="1" sqref="B3:B32">
      <x:formula1>0</x:formula1>
    </x:dataValidation>
  </x:dataValidations>
  <x:pageMargins left="0.7" right="0.7" top="0.75" bottom="0.75" header="0.3" footer="0.3"/>
</x:worksheet>
</file>