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cuments\Doctorate Corner\Intern Matters\ProjectRisk_V2_2\ProjectRisk_V2_2\"/>
    </mc:Choice>
  </mc:AlternateContent>
  <xr:revisionPtr revIDLastSave="0" documentId="8_{91923A64-02F3-4868-B440-9538EF678141}" xr6:coauthVersionLast="47" xr6:coauthVersionMax="47" xr10:uidLastSave="{00000000-0000-0000-0000-000000000000}"/>
  <bookViews>
    <workbookView xWindow="20370" yWindow="-120" windowWidth="29040" windowHeight="15720" firstSheet="5" activeTab="5" xr2:uid="{00000000-000D-0000-FFFF-FFFF00000000}"/>
  </bookViews>
  <sheets>
    <sheet name="README" sheetId="1" r:id="rId1"/>
    <sheet name="Project" sheetId="2" r:id="rId2"/>
    <sheet name="Activities" sheetId="3" r:id="rId3"/>
    <sheet name="Risk_Register" sheetId="4" r:id="rId4"/>
    <sheet name="Risk_Activity_Map" sheetId="5" r:id="rId5"/>
    <sheet name="Risk_Relationships" sheetId="6" r:id="rId6"/>
    <sheet name="Validation_Spec" sheetId="7" r:id="rId7"/>
    <sheet name="Risk_Portrait_Spec" sheetId="8" r:id="rId8"/>
    <sheet name="Case_Summary" sheetId="9" r:id="rId9"/>
    <sheet name="Risk_Categories" sheetId="10" r:id="rId10"/>
    <sheet name="Risk_Treatments" sheetId="11" r:id="rId11"/>
    <sheet name="Case_Assumptions" sheetId="12" r:id="rId12"/>
  </sheets>
  <definedNames>
    <definedName name="RiskCategoryOptions">Risk_Categories!$A$3:$A$20</definedName>
  </definedNames>
  <calcPr calcId="191029" calcMode="auto" fullCalcOnLoad="1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" l="1"/>
  <c r="L3" i="3"/>
  <c r="I32" i="12"/>
  <c r="F32" i="12"/>
  <c r="C32" i="12"/>
  <c r="I31" i="12"/>
  <c r="F31" i="12"/>
  <c r="L31" i="3" s="1"/>
  <c r="C31" i="12"/>
  <c r="I30" i="12"/>
  <c r="C30" i="12"/>
  <c r="F30" i="12" s="1"/>
  <c r="I29" i="12"/>
  <c r="C29" i="12"/>
  <c r="F29" i="12" s="1"/>
  <c r="I28" i="12"/>
  <c r="C28" i="12"/>
  <c r="F28" i="12" s="1"/>
  <c r="I27" i="12"/>
  <c r="C27" i="12"/>
  <c r="F27" i="12" s="1"/>
  <c r="E27" i="12" s="1"/>
  <c r="I26" i="12"/>
  <c r="F26" i="12"/>
  <c r="L26" i="3" s="1"/>
  <c r="C26" i="12"/>
  <c r="I25" i="12"/>
  <c r="F25" i="12"/>
  <c r="L25" i="3" s="1"/>
  <c r="C25" i="12"/>
  <c r="I24" i="12"/>
  <c r="F24" i="12"/>
  <c r="L24" i="3" s="1"/>
  <c r="C24" i="12"/>
  <c r="E24" i="12" s="1"/>
  <c r="I23" i="12"/>
  <c r="C23" i="12"/>
  <c r="F23" i="12" s="1"/>
  <c r="E23" i="12" s="1"/>
  <c r="I22" i="12"/>
  <c r="C22" i="12"/>
  <c r="F22" i="12" s="1"/>
  <c r="I21" i="12"/>
  <c r="C21" i="12"/>
  <c r="F21" i="12" s="1"/>
  <c r="I20" i="12"/>
  <c r="C20" i="12"/>
  <c r="F20" i="12" s="1"/>
  <c r="I19" i="12"/>
  <c r="C19" i="12"/>
  <c r="F19" i="12" s="1"/>
  <c r="I18" i="12"/>
  <c r="C18" i="12"/>
  <c r="F18" i="12" s="1"/>
  <c r="I17" i="12"/>
  <c r="F17" i="12"/>
  <c r="C17" i="12"/>
  <c r="I16" i="12"/>
  <c r="C16" i="12"/>
  <c r="F16" i="12" s="1"/>
  <c r="I15" i="12"/>
  <c r="C15" i="12"/>
  <c r="F15" i="12" s="1"/>
  <c r="E15" i="12" s="1"/>
  <c r="I14" i="12"/>
  <c r="C14" i="12"/>
  <c r="F14" i="12" s="1"/>
  <c r="I13" i="12"/>
  <c r="C13" i="12"/>
  <c r="F13" i="12" s="1"/>
  <c r="I12" i="12"/>
  <c r="C12" i="12"/>
  <c r="F12" i="12" s="1"/>
  <c r="I11" i="12"/>
  <c r="C11" i="12"/>
  <c r="F11" i="12" s="1"/>
  <c r="E11" i="12" s="1"/>
  <c r="I10" i="12"/>
  <c r="C10" i="12"/>
  <c r="F10" i="12" s="1"/>
  <c r="I9" i="12"/>
  <c r="C9" i="12"/>
  <c r="F9" i="12" s="1"/>
  <c r="I8" i="12"/>
  <c r="C8" i="12"/>
  <c r="F8" i="12" s="1"/>
  <c r="L8" i="3" s="1"/>
  <c r="I7" i="12"/>
  <c r="C7" i="12"/>
  <c r="F7" i="12" s="1"/>
  <c r="I6" i="12"/>
  <c r="C6" i="12"/>
  <c r="F6" i="12" s="1"/>
  <c r="I5" i="12"/>
  <c r="C5" i="12"/>
  <c r="F5" i="12" s="1"/>
  <c r="I4" i="12"/>
  <c r="C4" i="12"/>
  <c r="F4" i="12" s="1"/>
  <c r="I3" i="12"/>
  <c r="C3" i="12"/>
  <c r="F3" i="12" s="1"/>
  <c r="E3" i="12" s="1"/>
  <c r="E31" i="12" l="1"/>
  <c r="K31" i="3" s="1"/>
  <c r="E16" i="12"/>
  <c r="G16" i="12" s="1"/>
  <c r="L16" i="3"/>
  <c r="E26" i="12"/>
  <c r="K26" i="3" s="1"/>
  <c r="E17" i="12"/>
  <c r="K17" i="3" s="1"/>
  <c r="L20" i="3"/>
  <c r="E20" i="12"/>
  <c r="G20" i="12" s="1"/>
  <c r="E28" i="12"/>
  <c r="L28" i="3"/>
  <c r="E10" i="12"/>
  <c r="G10" i="12" s="1"/>
  <c r="L10" i="3"/>
  <c r="E22" i="12"/>
  <c r="G22" i="12" s="1"/>
  <c r="L22" i="3"/>
  <c r="E4" i="12"/>
  <c r="L17" i="3"/>
  <c r="E25" i="12"/>
  <c r="G25" i="12" s="1"/>
  <c r="E8" i="12"/>
  <c r="G8" i="12" s="1"/>
  <c r="E32" i="12"/>
  <c r="G32" i="12" s="1"/>
  <c r="E7" i="12"/>
  <c r="L7" i="3"/>
  <c r="K11" i="3"/>
  <c r="G11" i="12"/>
  <c r="K3" i="3"/>
  <c r="G3" i="12"/>
  <c r="L29" i="3"/>
  <c r="E29" i="12"/>
  <c r="L14" i="3"/>
  <c r="E14" i="12"/>
  <c r="L5" i="3"/>
  <c r="E5" i="12"/>
  <c r="E19" i="12"/>
  <c r="L19" i="3"/>
  <c r="K23" i="3"/>
  <c r="G23" i="12"/>
  <c r="G27" i="12"/>
  <c r="K27" i="3"/>
  <c r="K15" i="3"/>
  <c r="G15" i="12"/>
  <c r="E12" i="12"/>
  <c r="L12" i="3"/>
  <c r="L21" i="3"/>
  <c r="E21" i="12"/>
  <c r="L13" i="3"/>
  <c r="E13" i="12"/>
  <c r="G17" i="12"/>
  <c r="E30" i="12"/>
  <c r="L30" i="3"/>
  <c r="L9" i="3"/>
  <c r="E9" i="12"/>
  <c r="E18" i="12"/>
  <c r="L18" i="3"/>
  <c r="E6" i="12"/>
  <c r="L6" i="3"/>
  <c r="G24" i="12"/>
  <c r="K24" i="3"/>
  <c r="L32" i="3"/>
  <c r="K20" i="3"/>
  <c r="L15" i="3"/>
  <c r="L27" i="3"/>
  <c r="L11" i="3"/>
  <c r="L23" i="3"/>
  <c r="G26" i="12" l="1"/>
  <c r="G31" i="12"/>
  <c r="K25" i="3"/>
  <c r="K16" i="3"/>
  <c r="K10" i="3"/>
  <c r="K8" i="3"/>
  <c r="K22" i="3"/>
  <c r="G4" i="12"/>
  <c r="K4" i="3"/>
  <c r="K32" i="3"/>
  <c r="G28" i="12"/>
  <c r="K28" i="3"/>
  <c r="G30" i="12"/>
  <c r="K30" i="3"/>
  <c r="K5" i="3"/>
  <c r="G5" i="12"/>
  <c r="K21" i="3"/>
  <c r="G21" i="12"/>
  <c r="K29" i="3"/>
  <c r="G29" i="12"/>
  <c r="K9" i="3"/>
  <c r="G9" i="12"/>
  <c r="K18" i="3"/>
  <c r="G18" i="12"/>
  <c r="K6" i="3"/>
  <c r="G6" i="12"/>
  <c r="G14" i="12"/>
  <c r="K14" i="3"/>
  <c r="G13" i="12"/>
  <c r="K13" i="3"/>
  <c r="G12" i="12"/>
  <c r="K12" i="3"/>
  <c r="K19" i="3"/>
  <c r="G19" i="12"/>
  <c r="K7" i="3"/>
  <c r="G7" i="12"/>
</calcChain>
</file>

<file path=xl/sharedStrings.xml><?xml version="1.0" encoding="utf-8"?>
<sst xmlns="http://schemas.openxmlformats.org/spreadsheetml/2006/main" count="2182" uniqueCount="697">
  <si>
    <t>Project Risk Analysis V2.2 input workbook</t>
  </si>
  <si>
    <t>Purpose</t>
  </si>
  <si>
    <t>Oriented probabilistic project risk analysis input template.</t>
  </si>
  <si>
    <t>Workflow</t>
  </si>
  <si>
    <t>Project → Activities → Risk Register → Risk–Activity Mapping → Validate → Simulate → Risk Portrait → Treatment</t>
  </si>
  <si>
    <t>Green cells</t>
  </si>
  <si>
    <t>Core/expected user inputs.</t>
  </si>
  <si>
    <t>Grey cells</t>
  </si>
  <si>
    <t>Optional or conditionally required inputs.</t>
  </si>
  <si>
    <t>Probability</t>
  </si>
  <si>
    <t>Enter as decimal between 0 and 1 (e.g., 0.30 = 30%).</t>
  </si>
  <si>
    <t>Duration logic</t>
  </si>
  <si>
    <t>For three-point distributions: Min/Optimistic ≤ Most Likely ≤ Max/Pessimistic.</t>
  </si>
  <si>
    <t>Risk occurrence</t>
  </si>
  <si>
    <t>A risk is sampled once per Monte Carlo iteration, then applied to all mapped activities.</t>
  </si>
  <si>
    <t>Risk impacts</t>
  </si>
  <si>
    <t>Consequences are defined in Risk_Activity_Map so the same risk can affect activities differently.</t>
  </si>
  <si>
    <t>Advanced layer</t>
  </si>
  <si>
    <t>Risk_Relationships is optional and reserved for later causal/dependency modelling.</t>
  </si>
  <si>
    <t>Cost model</t>
  </si>
  <si>
    <t>Fixed_Cost + Cost_Rate × final activity duration + direct mapped risk costs; total floored at zero.</t>
  </si>
  <si>
    <t>Migration</t>
  </si>
  <si>
    <t>V2.2 splits each original budget into illustrative fixed/time portions. Fixed_Cost + Cost_Rate × reference duration preserves the original amount; see Case_Assumptions.</t>
  </si>
  <si>
    <t>Units</t>
  </si>
  <si>
    <t>Cost_Rate is currency per project time unit. Fixed_Cost is duration-independent; direct risk costs exclude expenses already covered by Cost_Rate.</t>
  </si>
  <si>
    <t>Register selection</t>
  </si>
  <si>
    <t>Active=false retains a risk for management but excludes it from simulation. An unselected risk may have blank Probability; active risks require it.</t>
  </si>
  <si>
    <t>Qualitative scale</t>
  </si>
  <si>
    <t>User-assessed impact: 1 very low, 2 low, 3 moderate, 4 high, 5 very high. Define project-specific consequences in Assessment_Rationale.</t>
  </si>
  <si>
    <t>Screening scores</t>
  </si>
  <si>
    <t>App calculates Probability × impact separately for schedule and cost. Ordinal screening only; no automatic acceptance thresholds.</t>
  </si>
  <si>
    <t>Response action</t>
  </si>
  <si>
    <t>Write a concrete action, owner and due date. Existing strategy-only actions are preserved and flagged for completion.</t>
  </si>
  <si>
    <t>Residual assessment</t>
  </si>
  <si>
    <t>Residual fields document human assessment; they do not alter simulation inputs. Pending remains until the responsible person decides.</t>
  </si>
  <si>
    <t>Treatment assumptions</t>
  </si>
  <si>
    <t>Optional Risk_Treatments rows initialise app controls; blank probability retains original, blank multipliers mean 1. Only selected active risks are treated when Run is pressed.</t>
  </si>
  <si>
    <t>Treatment dimensions</t>
  </si>
  <si>
    <t>Duration multiplier changes mapped duration; direct cost multiplier changes mapped cost. Rate-based costs follow final duration automatically.</t>
  </si>
  <si>
    <t>Category definitions</t>
  </si>
  <si>
    <t>Risk_Categories preserves project categories. Complete their inclusion criteria; no automatic classification is implied.</t>
  </si>
  <si>
    <t>Risk relationships</t>
  </si>
  <si>
    <t>Inactive future layer; no risk propagation in this release.</t>
  </si>
  <si>
    <t>Risk portrait</t>
  </si>
  <si>
    <t>Every curve is total project duration for its risk subset. ST includes all active risks. Intermediate scenarios require calculation; ST reuses the main result.</t>
  </si>
  <si>
    <t>Risk association</t>
  </si>
  <si>
    <t>Risk importance uses Pearson occurrence/outcome correlation; activity cruciality uses Spearman duration/project-duration correlation. Undefined constant cases display zero.</t>
  </si>
  <si>
    <t>Category convention</t>
  </si>
  <si>
    <t>Risk_Categories provides editable working definitions, not an external standard. Choose the primary category and explain overlaps in Notes.</t>
  </si>
  <si>
    <t>Case source</t>
  </si>
  <si>
    <t>Case Study of a Residential Building Project.docx: source for the 30-activity/24-risk scenario and original targets. New numeric rates, ratings and treatment effectiveness are illustrative assumptions.</t>
  </si>
  <si>
    <t>Units assumption</t>
  </si>
  <si>
    <t>The source specifies generic time/monetary units. Use project time units and monetary units consistently; no real calendar or currency is asserted.</t>
  </si>
  <si>
    <t>Relative deadlines</t>
  </si>
  <si>
    <t>Response_Due_Date contains a relative construction milestone because no project start date is supplied. Replace with actual dates once a baseline calendar exists.</t>
  </si>
  <si>
    <t>Cost basis</t>
  </si>
  <si>
    <t>Case_Assumptions now calculates live reference duration, cost rate, fixed cost and reference total; Activities links to these results. Green cells are inputs; grey cost cells are calculated.</t>
  </si>
  <si>
    <t>No double counting</t>
  </si>
  <si>
    <t>Direct mapped costs are treated as incremental materials, repairs, penalties or emergency expenditure beyond ordinary rate-based resources. Review these boundaries with case experts.</t>
  </si>
  <si>
    <t>Post-response assumptions</t>
  </si>
  <si>
    <t>Residual_Probability equals the proposed treated probability; residual severity ratings are subjective expectations, not recalculated simulation results. All acceptance decisions remain Pending.</t>
  </si>
  <si>
    <t>Opportunities</t>
  </si>
  <si>
    <t>Higher treated probabilities or multipliers strengthen benefits. Residual opportunity impacts describe expected benefit potential rather than remaining threat severity.</t>
  </si>
  <si>
    <t>Treatment selection</t>
  </si>
  <si>
    <t>All 24 risks have proposed treatment assumptions. Only risks selected in the app are treated; there is no automatic implementation or optimisation. Response implementation costs are excluded.</t>
  </si>
  <si>
    <t>Existing lifecycle statuses</t>
  </si>
  <si>
    <t>Original Closed statuses and Active=true values are retained as case attributes. Active controls numerical inclusion; Closed does not automatically exclude a risk.</t>
  </si>
  <si>
    <t>Cost target check</t>
  </si>
  <si>
    <t>Original activity budgets total 1,057,000 monetary units versus the original 900,000 target. Both are retained; the example already exceeds its target before discrete risks.</t>
  </si>
  <si>
    <t>Live cost workflow</t>
  </si>
  <si>
    <t>Select Cost_Association in Activities. Edit Original_Base_Cost and Time_Dependent_Share in Case_Assumptions. Edit duration parameters in Activities. Linked formulas update fixed cost and cost rate.</t>
  </si>
  <si>
    <t>Fixed only</t>
  </si>
  <si>
    <t>Fixed only forces Cost_Rate=0 and Fixed_Cost=Original_Base_Cost. The time-dependent share is ignored. A15, A22, A23, A24, A29 and A30 are illustrative fixed-price packages/fees, not verified contract terms.</t>
  </si>
  <si>
    <t>Cost rate formula</t>
  </si>
  <si>
    <t>Mixed activity rate = ROUND(original budget × time-dependent share / reference duration, 2). Fixed cost = ROUND(original budget − rate × reference duration, 2). Reference total is fixed cost + rate × reference duration.</t>
  </si>
  <si>
    <t>Formula and unit checks</t>
  </si>
  <si>
    <t>A positive time-dependent share requires positive reference duration. Use share 0 or Fixed only for a zero-duration activity. Keep time units consistent.</t>
  </si>
  <si>
    <t>Direct risk costs</t>
  </si>
  <si>
    <t>Fixed only removes duration-rate costs; it does not remove explicit additional risk costs from Risk_Activity_Map. Remove or adjust those mappings where the contract transfers that financial exposure.</t>
  </si>
  <si>
    <t>Saving before upload</t>
  </si>
  <si>
    <t>Recalculate and save in Excel before uploading after edits. The app reads saved formula results. Do not replace linked cost formulas with typed values unless deliberately leaving this live workflow.</t>
  </si>
  <si>
    <t>1. Project Information</t>
  </si>
  <si>
    <t>Field</t>
  </si>
  <si>
    <t>Value</t>
  </si>
  <si>
    <t>Required?</t>
  </si>
  <si>
    <t>Data Type</t>
  </si>
  <si>
    <t>Validation Rule</t>
  </si>
  <si>
    <t>Example</t>
  </si>
  <si>
    <t>Simulation Role</t>
  </si>
  <si>
    <t>Project_ID</t>
  </si>
  <si>
    <t>P01</t>
  </si>
  <si>
    <t>Yes</t>
  </si>
  <si>
    <t>Text</t>
  </si>
  <si>
    <t>Nonblank</t>
  </si>
  <si>
    <t>Simulation identifier</t>
  </si>
  <si>
    <t>Project_Name</t>
  </si>
  <si>
    <t>Building Project</t>
  </si>
  <si>
    <t>Reporting/context</t>
  </si>
  <si>
    <t>Description</t>
  </si>
  <si>
    <t>Expanded classroom/research demonstration with a broader activity network, threat/opportunity register, and risk–activity exposure map.</t>
  </si>
  <si>
    <t>No</t>
  </si>
  <si>
    <t>Optional</t>
  </si>
  <si>
    <t>Residential construction</t>
  </si>
  <si>
    <t>Context</t>
  </si>
  <si>
    <t>Target_Duration</t>
  </si>
  <si>
    <t>Number</t>
  </si>
  <si>
    <t>Positive if entered</t>
  </si>
  <si>
    <t>120</t>
  </si>
  <si>
    <t>Probability of meeting duration target</t>
  </si>
  <si>
    <t>Target_Cost</t>
  </si>
  <si>
    <t>Non-negative if entered</t>
  </si>
  <si>
    <t>500000</t>
  </si>
  <si>
    <t>Probability of meeting cost target</t>
  </si>
  <si>
    <t>Simulation_Iterations</t>
  </si>
  <si>
    <t>Integer</t>
  </si>
  <si>
    <t>Integer &gt; 0</t>
  </si>
  <si>
    <t>5000</t>
  </si>
  <si>
    <t>Monte Carlo run count</t>
  </si>
  <si>
    <t>Random_Seed</t>
  </si>
  <si>
    <t>Integer if entered</t>
  </si>
  <si>
    <t>42</t>
  </si>
  <si>
    <t>Reproducibility / controlled comparisons</t>
  </si>
  <si>
    <t>Time_Unit</t>
  </si>
  <si>
    <t>project time units</t>
  </si>
  <si>
    <t>All durations and rates use this unit</t>
  </si>
  <si>
    <t>days</t>
  </si>
  <si>
    <t>Cost-rate interpretation</t>
  </si>
  <si>
    <t>Currency</t>
  </si>
  <si>
    <t>monetary units</t>
  </si>
  <si>
    <t>Use one currency consistently</t>
  </si>
  <si>
    <t>BRL</t>
  </si>
  <si>
    <t>Cost interpretation</t>
  </si>
  <si>
    <t>2. Activity Register</t>
  </si>
  <si>
    <t>Activity_ID</t>
  </si>
  <si>
    <t>Activity_Name</t>
  </si>
  <si>
    <t>Predecessors</t>
  </si>
  <si>
    <t>Duration_Model</t>
  </si>
  <si>
    <t>Duration_Fixed</t>
  </si>
  <si>
    <t>Duration_Min</t>
  </si>
  <si>
    <t>Duration_MostLikely</t>
  </si>
  <si>
    <t>Duration_Max</t>
  </si>
  <si>
    <t>Duration_Mean</t>
  </si>
  <si>
    <t>Duration_SD</t>
  </si>
  <si>
    <t>Fixed_Cost</t>
  </si>
  <si>
    <t>Cost_Rate</t>
  </si>
  <si>
    <t>Cost_Association</t>
  </si>
  <si>
    <t>A01</t>
  </si>
  <si>
    <t>Mobilization and site establishment</t>
  </si>
  <si>
    <t>Fixed</t>
  </si>
  <si>
    <t>Fixed + time</t>
  </si>
  <si>
    <t>A02</t>
  </si>
  <si>
    <t>Site survey and setting out</t>
  </si>
  <si>
    <t>Triangular</t>
  </si>
  <si>
    <t>A03</t>
  </si>
  <si>
    <t>Site clearing and earthworks</t>
  </si>
  <si>
    <t>Beta-PERT</t>
  </si>
  <si>
    <t>A04</t>
  </si>
  <si>
    <t>Excavation</t>
  </si>
  <si>
    <t>Normal</t>
  </si>
  <si>
    <t>A05</t>
  </si>
  <si>
    <t>Foundation works</t>
  </si>
  <si>
    <t>A06</t>
  </si>
  <si>
    <t>Ground-floor slab</t>
  </si>
  <si>
    <t>A07</t>
  </si>
  <si>
    <t>Structural frame – lower floors</t>
  </si>
  <si>
    <t>A08</t>
  </si>
  <si>
    <t>Structural frame – upper floors</t>
  </si>
  <si>
    <t>A09</t>
  </si>
  <si>
    <t>Roof structure and covering</t>
  </si>
  <si>
    <t>A10</t>
  </si>
  <si>
    <t>External masonry and partitions</t>
  </si>
  <si>
    <t>A11</t>
  </si>
  <si>
    <t>Internal partitions</t>
  </si>
  <si>
    <t>A12</t>
  </si>
  <si>
    <t>Electrical rough-in</t>
  </si>
  <si>
    <t>A10,A11</t>
  </si>
  <si>
    <t>A13</t>
  </si>
  <si>
    <t>Plumbing rough-in</t>
  </si>
  <si>
    <t>A14</t>
  </si>
  <si>
    <t>HVAC / ventilation rough-in</t>
  </si>
  <si>
    <t>A15</t>
  </si>
  <si>
    <t>External doors and windows</t>
  </si>
  <si>
    <t>A09,A10</t>
  </si>
  <si>
    <t>A16</t>
  </si>
  <si>
    <t>Waterproofing</t>
  </si>
  <si>
    <t>A09,A13</t>
  </si>
  <si>
    <t>A17</t>
  </si>
  <si>
    <t>Internal plastering</t>
  </si>
  <si>
    <t>A12,A13,A14</t>
  </si>
  <si>
    <t>A18</t>
  </si>
  <si>
    <t>External rendering / façade</t>
  </si>
  <si>
    <t>A19</t>
  </si>
  <si>
    <t>Floor screed and tiling</t>
  </si>
  <si>
    <t>A16,A17</t>
  </si>
  <si>
    <t>A20</t>
  </si>
  <si>
    <t>Ceilings</t>
  </si>
  <si>
    <t>A21</t>
  </si>
  <si>
    <t>Painting</t>
  </si>
  <si>
    <t>A18,A19,A20</t>
  </si>
  <si>
    <t>A22</t>
  </si>
  <si>
    <t>Electrical fixtures and final connections</t>
  </si>
  <si>
    <t>A19,A20</t>
  </si>
  <si>
    <t>A23</t>
  </si>
  <si>
    <t>Plumbing fixtures and sanitary installation</t>
  </si>
  <si>
    <t>A24</t>
  </si>
  <si>
    <t>Joinery and cabinetry</t>
  </si>
  <si>
    <t>A19,A21</t>
  </si>
  <si>
    <t>A25</t>
  </si>
  <si>
    <t>External works and drainage</t>
  </si>
  <si>
    <t>A26</t>
  </si>
  <si>
    <t>Landscaping</t>
  </si>
  <si>
    <t>A27</t>
  </si>
  <si>
    <t>Testing and commissioning</t>
  </si>
  <si>
    <t>A22,A23,A24</t>
  </si>
  <si>
    <t>A28</t>
  </si>
  <si>
    <t>Defect correction / punch list</t>
  </si>
  <si>
    <t>A21,A24,A27</t>
  </si>
  <si>
    <t>A29</t>
  </si>
  <si>
    <t>Final inspection and approvals</t>
  </si>
  <si>
    <t>A26,A28</t>
  </si>
  <si>
    <t>A30</t>
  </si>
  <si>
    <t>Handover and closeout</t>
  </si>
  <si>
    <t>3. Risk Register</t>
  </si>
  <si>
    <t>Risk_ID</t>
  </si>
  <si>
    <t>Risk_Name</t>
  </si>
  <si>
    <t>Risk_Statement</t>
  </si>
  <si>
    <t>Category</t>
  </si>
  <si>
    <t>Risk_Type</t>
  </si>
  <si>
    <t>Scope</t>
  </si>
  <si>
    <t>Impact_Type</t>
  </si>
  <si>
    <t>Trigger_Cause</t>
  </si>
  <si>
    <t>Owner</t>
  </si>
  <si>
    <t>Response_Strategy</t>
  </si>
  <si>
    <t>Response_Action</t>
  </si>
  <si>
    <t>Status</t>
  </si>
  <si>
    <t>Impact_Distribution_Default</t>
  </si>
  <si>
    <t>Notes</t>
  </si>
  <si>
    <t>Active</t>
  </si>
  <si>
    <t>Qualitative_Schedule_Impact</t>
  </si>
  <si>
    <t>Qualitative_Cost_Impact</t>
  </si>
  <si>
    <t>Assessment_Rationale</t>
  </si>
  <si>
    <t>Response_Owner</t>
  </si>
  <si>
    <t>Response_Due_Date</t>
  </si>
  <si>
    <t>Residual_Probability</t>
  </si>
  <si>
    <t>Residual_Schedule_Impact</t>
  </si>
  <si>
    <t>Residual_Cost_Impact</t>
  </si>
  <si>
    <t>Residual_Acceptance</t>
  </si>
  <si>
    <t>Residual_Rationale</t>
  </si>
  <si>
    <t>R01</t>
  </si>
  <si>
    <t>Critical material delivery delay</t>
  </si>
  <si>
    <t>Critical structural or finishing materials may arrive later than required.</t>
  </si>
  <si>
    <t>Supply</t>
  </si>
  <si>
    <t>Threat</t>
  </si>
  <si>
    <t>Local</t>
  </si>
  <si>
    <t>Duration</t>
  </si>
  <si>
    <t>Supplier disruption / logistics delay</t>
  </si>
  <si>
    <t>Procurement Manager</t>
  </si>
  <si>
    <t>Mitigate</t>
  </si>
  <si>
    <t>Approve material submittals early; place long-lead orders and agree delivery tracking plus a backup supplier.</t>
  </si>
  <si>
    <t>Open</t>
  </si>
  <si>
    <t>Affects material-dependent activities | V2.2 new assessments and responses are illustrative; original status/Active preserved as scenario attributes.</t>
  </si>
  <si>
    <t>ILLUSTRATIVE initial impact assessment: Late critical deliveries can hold foundations, frames or enclosure; delay also increases rate-based costs.</t>
  </si>
  <si>
    <t>Before A05 foundation works</t>
  </si>
  <si>
    <t>Pending</t>
  </si>
  <si>
    <t>ILLUSTRATIVE post-response threat exposure; Early procurement reduces delivery interruptions; remaining delays still generate time-related costs. Not a simulation estimate or an approved acceptance decision.</t>
  </si>
  <si>
    <t>R02</t>
  </si>
  <si>
    <t>Higher crew productivity</t>
  </si>
  <si>
    <t>Experienced crews may complete repetitive work faster than planned.</t>
  </si>
  <si>
    <t>Operational</t>
  </si>
  <si>
    <t>Opportunity</t>
  </si>
  <si>
    <t>Learning curve / stable workforce</t>
  </si>
  <si>
    <t>Site Manager</t>
  </si>
  <si>
    <t>Exploit</t>
  </si>
  <si>
    <t>Assign stable experienced crews to repetitive work; use weekly productivity feedback and coaching.</t>
  </si>
  <si>
    <t>Monitoring</t>
  </si>
  <si>
    <t>Schedule opportunity | V2.2 new assessments and responses are illustrative; original status/Active preserved as scenario attributes.</t>
  </si>
  <si>
    <t>ILLUSTRATIVE initial impact assessment: Learning and stable crews can shorten repetitive work and reduce time-dependent resource costs.</t>
  </si>
  <si>
    <t>Before A07 structural frame</t>
  </si>
  <si>
    <t>ILLUSTRATIVE post-response opportunity benefit; Stable crews increase the likelihood and size of schedule benefits; rate-based costs fall with shorter durations. Not a simulation estimate or an approved acceptance decision.</t>
  </si>
  <si>
    <t>R03</t>
  </si>
  <si>
    <t>Adverse weather</t>
  </si>
  <si>
    <t>Heavy rainfall or extreme weather may interrupt outdoor works.</t>
  </si>
  <si>
    <t>Environmental</t>
  </si>
  <si>
    <t>Seasonal weather conditions</t>
  </si>
  <si>
    <t>Project Manager</t>
  </si>
  <si>
    <t>Plan weather-sensitive work windows; provide temporary drainage and protective covers.</t>
  </si>
  <si>
    <t>Primarily early and external works | V2.2 new assessments and responses are illustrative; original status/Active preserved as scenario attributes.</t>
  </si>
  <si>
    <t>ILLUSTRATIVE initial impact assessment: Rain can interrupt multiple outdoor work packages and extend paid resource occupancy.</t>
  </si>
  <si>
    <t>Before A03 earthworks</t>
  </si>
  <si>
    <t>ILLUSTRATIVE post-response threat exposure; Controls reduce disruption severity; they do not change the probability of adverse weather. Not a simulation estimate or an approved acceptance decision.</t>
  </si>
  <si>
    <t>R04</t>
  </si>
  <si>
    <t>Unforeseen ground conditions</t>
  </si>
  <si>
    <t>Unexpected soil, groundwater or buried obstruction conditions may be encountered.</t>
  </si>
  <si>
    <t>Geotechnical</t>
  </si>
  <si>
    <t>Both</t>
  </si>
  <si>
    <t>Incomplete subsurface information</t>
  </si>
  <si>
    <t>Civil Engineer</t>
  </si>
  <si>
    <t>Complete targeted ground investigation, groundwater checks and a foundation contingency method.</t>
  </si>
  <si>
    <t>Foundation-stage exposure | V2.2 new assessments and responses are illustrative; original status/Active preserved as scenario attributes.</t>
  </si>
  <si>
    <t>ILLUSTRATIVE initial impact assessment: Unknown ground or groundwater can disrupt substructure sequencing and require substantial additional treatment.</t>
  </si>
  <si>
    <t>Before A04 excavation</t>
  </si>
  <si>
    <t>ILLUSTRATIVE post-response threat exposure; Investigation does not change ground conditions; preparedness reduces resulting delay and additional ground-treatment costs. Not a simulation estimate or an approved acceptance decision.</t>
  </si>
  <si>
    <t>R05</t>
  </si>
  <si>
    <t>Design change / late clarification</t>
  </si>
  <si>
    <t>Late design revisions or unresolved details may cause rework or waiting.</t>
  </si>
  <si>
    <t>Design</t>
  </si>
  <si>
    <t>Client/design coordination changes</t>
  </si>
  <si>
    <t>Design Manager</t>
  </si>
  <si>
    <t>Close design RFIs before release; coordinate discipline reviews and enforce change control.</t>
  </si>
  <si>
    <t>Can affect MEP and finishes | V2.2 new assessments and responses are illustrative; original status/Active preserved as scenario attributes.</t>
  </si>
  <si>
    <t>ILLUSTRATIVE initial impact assessment: Late design decisions can hold several workstreams and require direct redesign or rework.</t>
  </si>
  <si>
    <t>ILLUSTRATIVE post-response threat exposure; Coordinated released drawings reduce late changes and associated redesign/rework. Not a simulation estimate or an approved acceptance decision.</t>
  </si>
  <si>
    <t>R06</t>
  </si>
  <si>
    <t>Permit or inspection delay</t>
  </si>
  <si>
    <t>Required authority review or inspection may take longer than planned.</t>
  </si>
  <si>
    <t>Regulatory</t>
  </si>
  <si>
    <t>Authority workload / nonconformance</t>
  </si>
  <si>
    <t>Confirm inspection hold points, submission completeness and booking lead times with the authority.</t>
  </si>
  <si>
    <t>Closed</t>
  </si>
  <si>
    <t>Late-stage and selected hold points | V2.2 new assessments and responses are illustrative; original status/Active preserved as scenario attributes.</t>
  </si>
  <si>
    <t>ILLUSTRATIVE initial impact assessment: Inspection waiting can block hold points or handover; cost exposure is mainly time-related.</t>
  </si>
  <si>
    <t>Before first mapped inspection hold point</t>
  </si>
  <si>
    <t>ILLUSTRATIVE post-response threat exposure; Earlier complete submissions reduce administrative waiting; future-stage inspection exposure remains modelled. Not a simulation estimate or an approved acceptance decision.</t>
  </si>
  <si>
    <t>R07</t>
  </si>
  <si>
    <t>Skilled labour shortage</t>
  </si>
  <si>
    <t>Specialist or skilled labour may be unavailable when needed.</t>
  </si>
  <si>
    <t>Resource</t>
  </si>
  <si>
    <t>Labour market constraints</t>
  </si>
  <si>
    <t>Secure trade labour commitments and cross-train backup crews before mobilisation of specialist trades.</t>
  </si>
  <si>
    <t>Structural, MEP and finishing trades | V2.2 new assessments and responses are illustrative; original status/Active preserved as scenario attributes.</t>
  </si>
  <si>
    <t>ILLUSTRATIVE initial impact assessment: Scarce skilled crews can delay structural, MEP and finishing packages and increase recruitment or overtime costs.</t>
  </si>
  <si>
    <t>ILLUSTRATIVE post-response threat exposure; Labour commitments reduce shortages; standby arrangements limit delay and recruitment premiums. Not a simulation estimate or an approved acceptance decision.</t>
  </si>
  <si>
    <t>R08</t>
  </si>
  <si>
    <t>Equipment breakdown</t>
  </si>
  <si>
    <t>Critical plant or construction equipment may fail unexpectedly.</t>
  </si>
  <si>
    <t>Equipment</t>
  </si>
  <si>
    <t>Mechanical failure / poor maintenance</t>
  </si>
  <si>
    <t>Plant Manager</t>
  </si>
  <si>
    <t>Implement preventive maintenance and reserve replacement plant with agreed call-out times.</t>
  </si>
  <si>
    <t>Earthworks and lifting-intensive work | V2.2 new assessments and responses are illustrative; original status/Active preserved as scenario attributes.</t>
  </si>
  <si>
    <t>ILLUSTRATIVE initial impact assessment: Plant failure can delay equipment-dependent work and require emergency replacement or repairs.</t>
  </si>
  <si>
    <t>ILLUSTRATIVE post-response threat exposure; Maintenance reduces breakdown likelihood; replacement arrangements reduce downtime and emergency costs. Not a simulation estimate or an approved acceptance decision.</t>
  </si>
  <si>
    <t>R09</t>
  </si>
  <si>
    <t>Material price escalation</t>
  </si>
  <si>
    <t>Prices of key materials may exceed the budget assumption.</t>
  </si>
  <si>
    <t>Commercial</t>
  </si>
  <si>
    <t>Global</t>
  </si>
  <si>
    <t>Cost</t>
  </si>
  <si>
    <t>Market inflation / exchange-rate pressure</t>
  </si>
  <si>
    <t>Commercial Manager</t>
  </si>
  <si>
    <t>Agree fixed-price supply windows and competitively source key material packages.</t>
  </si>
  <si>
    <t>Cost-only exposure | V2.2 new assessments and responses are illustrative; original status/Active preserved as scenario attributes.</t>
  </si>
  <si>
    <t>ILLUSTRATIVE initial impact assessment: Material inflation directly affects the purchase budget; no direct duration impact is mapped (minimum schedule class 1).</t>
  </si>
  <si>
    <t>Before A05 procurement commitments</t>
  </si>
  <si>
    <t>ILLUSTRATIVE post-response threat exposure; Market-price changes remain possible; purchasing arrangements reduce the exposed cost increment. Not a simulation estimate or an approved acceptance decision.</t>
  </si>
  <si>
    <t>R10</t>
  </si>
  <si>
    <t>Subcontractor underperformance</t>
  </si>
  <si>
    <t>A subcontractor may deliver below planned productivity or quality.</t>
  </si>
  <si>
    <t>Contractor</t>
  </si>
  <si>
    <t>Capacity / management weakness</t>
  </si>
  <si>
    <t>Contracts Manager</t>
  </si>
  <si>
    <t>Prequalify subcontractors; agree measurable production targets and an escalation/recovery procedure.</t>
  </si>
  <si>
    <t>Trade-package exposure | V2.2 new assessments and responses are illustrative; original status/Active preserved as scenario attributes.</t>
  </si>
  <si>
    <t>ILLUSTRATIVE initial impact assessment: Poor subcontractor production or quality can delay successors and generate recovery expenditure.</t>
  </si>
  <si>
    <t>Before subcontract package award</t>
  </si>
  <si>
    <t>ILLUSTRATIVE post-response threat exposure; Capability checks and recovery planning reduce delivery failure and incremental remedial costs. Not a simulation estimate or an approved acceptance decision.</t>
  </si>
  <si>
    <t>R11</t>
  </si>
  <si>
    <t>Quality failure and rework</t>
  </si>
  <si>
    <t>Work may fail inspection or specification and require correction.</t>
  </si>
  <si>
    <t>Quality</t>
  </si>
  <si>
    <t>Workmanship / supervision failure</t>
  </si>
  <si>
    <t>QA/QC Manager</t>
  </si>
  <si>
    <t>Use approved mock-ups, inspection checklists and sign-off before covering completed work.</t>
  </si>
  <si>
    <t>Broad execution exposure | V2.2 new assessments and responses are illustrative; original status/Active preserved as scenario attributes.</t>
  </si>
  <si>
    <t>ILLUSTRATIVE initial impact assessment: Failed work may require removal, replacement and repeat inspections, affecting duration and direct costs.</t>
  </si>
  <si>
    <t>Before A06 slab and subsequent trade work</t>
  </si>
  <si>
    <t>ILLUSTRATIVE post-response threat exposure; First-work approval and inspection reduce defects and limit the scope of direct rework. Not a simulation estimate or an approved acceptance decision.</t>
  </si>
  <si>
    <t>R12</t>
  </si>
  <si>
    <t>Safety incident</t>
  </si>
  <si>
    <t>A recordable incident may interrupt work and generate investigation/corrective actions.</t>
  </si>
  <si>
    <t>HSE</t>
  </si>
  <si>
    <t>Unsafe act or condition</t>
  </si>
  <si>
    <t>HSE Manager</t>
  </si>
  <si>
    <t>Avoid</t>
  </si>
  <si>
    <t>Eliminate unsafe work methods where practicable; enforce permits, induction and supervisor checks.</t>
  </si>
  <si>
    <t>Higher exposure in structural/external works | V2.2 new assessments and responses are illustrative; original status/Active preserved as scenario attributes.</t>
  </si>
  <si>
    <t>ILLUSTRATIVE initial impact assessment: A serious incident may stop work and cause severe human, legal and financial consequences; low probability does not make it acceptable.</t>
  </si>
  <si>
    <t>Before A01 mobilisation; maintain throughout works</t>
  </si>
  <si>
    <t>ILLUSTRATIVE post-response threat exposure; Controls reduce incident likelihood; severe consequences remain possible and require HSE review regardless of screening score. Not a simulation estimate or an approved acceptance decision.</t>
  </si>
  <si>
    <t>R13</t>
  </si>
  <si>
    <t>Utility service conflict</t>
  </si>
  <si>
    <t>Existing or planned utilities may conflict with construction or connection works.</t>
  </si>
  <si>
    <t>Technical</t>
  </si>
  <si>
    <t>Incomplete utility records / coordination</t>
  </si>
  <si>
    <t>MEP Manager</t>
  </si>
  <si>
    <t>Verify buried-service records, survey interfaces and agree coordinated service routes.</t>
  </si>
  <si>
    <t>MEP and external works | V2.2 new assessments and responses are illustrative; original status/Active preserved as scenario attributes.</t>
  </si>
  <si>
    <t>ILLUSTRATIVE initial impact assessment: Utility conflicts can block excavation or services and require relocation and reinstatement.</t>
  </si>
  <si>
    <t>Before A04 excavation and A12 MEP works</t>
  </si>
  <si>
    <t>ILLUSTRATIVE post-response threat exposure; Early utility verification reduces clashes and resulting relocation/rework. Not a simulation estimate or an approved acceptance decision.</t>
  </si>
  <si>
    <t>R14</t>
  </si>
  <si>
    <t>Client decision delay</t>
  </si>
  <si>
    <t>Delayed approval of samples, finishes or changes may hold downstream work.</t>
  </si>
  <si>
    <t>Stakeholder</t>
  </si>
  <si>
    <t>Slow client approvals</t>
  </si>
  <si>
    <t>Agree a client decision schedule, named approvers and time limits for sample approvals.</t>
  </si>
  <si>
    <t>Finishing activities | V2.2 new assessments and responses are illustrative; original status/Active preserved as scenario attributes.</t>
  </si>
  <si>
    <t>ILLUSTRATIVE initial impact assessment: Slow client approvals can hold finishing releases and extend time-dependent costs.</t>
  </si>
  <si>
    <t>Before A15 doors/windows and finishing releases</t>
  </si>
  <si>
    <t>ILLUSTRATIVE post-response threat exposure; Clear deadlines and escalation reduce approval waiting; indirect time costs remain. Not a simulation estimate or an approved acceptance decision.</t>
  </si>
  <si>
    <t>R15</t>
  </si>
  <si>
    <t>Cash-flow / payment delay</t>
  </si>
  <si>
    <t>Delayed certification or payment may constrain procurement and subcontractor progress.</t>
  </si>
  <si>
    <t>Financial</t>
  </si>
  <si>
    <t>Payment processing / funding constraints</t>
  </si>
  <si>
    <t>Prepare rolling cash-flow forecasts, submit complete payment claims and arrange a contingency funding facility.</t>
  </si>
  <si>
    <t>Potentially broad project impact | V2.2 new assessments and responses are illustrative; original status/Active preserved as scenario attributes.</t>
  </si>
  <si>
    <t>ILLUSTRATIVE initial impact assessment: Cash shortages can affect multiple suppliers and trades and add financing or remobilisation costs.</t>
  </si>
  <si>
    <t>Before A01 mobilisation; review each payment cycle</t>
  </si>
  <si>
    <t>ILLUSTRATIVE post-response threat exposure; Payment readiness and liquidity buffers reduce disruption; financing and remobilisation costs remain possible. Not a simulation estimate or an approved acceptance decision.</t>
  </si>
  <si>
    <t>R16</t>
  </si>
  <si>
    <t>Theft or vandalism</t>
  </si>
  <si>
    <t>Materials, tools or completed work may be lost or damaged.</t>
  </si>
  <si>
    <t>Security</t>
  </si>
  <si>
    <t>Site security breach</t>
  </si>
  <si>
    <t>Secure stores, record material issues and provide controlled access and night surveillance.</t>
  </si>
  <si>
    <t>Storage and finishing exposure | V2.2 new assessments and responses are illustrative; original status/Active preserved as scenario attributes.</t>
  </si>
  <si>
    <t>ILLUSTRATIVE initial impact assessment: Theft causes replacement costs; no direct schedule impact is mapped (minimum schedule class 1).</t>
  </si>
  <si>
    <t>Before A01 site establishment</t>
  </si>
  <si>
    <t>ILLUSTRATIVE post-response threat exposure; Security measures reduce loss likelihood and unrecovered replacement costs; no direct schedule consequence is mapped. Not a simulation estimate or an approved acceptance decision.</t>
  </si>
  <si>
    <t>R17</t>
  </si>
  <si>
    <t>Community / neighbour disruption</t>
  </si>
  <si>
    <t>Complaints, access restrictions or local disturbance may constrain site operations.</t>
  </si>
  <si>
    <t>Noise, traffic or access conflict</t>
  </si>
  <si>
    <t>Agree delivery routes and working-hour arrangements; appoint a neighbour liaison contact.</t>
  </si>
  <si>
    <t>Site logistics and external works | V2.2 new assessments and responses are illustrative; original status/Active preserved as scenario attributes.</t>
  </si>
  <si>
    <t>ILLUSTRATIVE initial impact assessment: Neighbour or access restrictions can interrupt site logistics and extend rate-based costs.</t>
  </si>
  <si>
    <t>Before A01 mobilisation</t>
  </si>
  <si>
    <t>ILLUSTRATIVE post-response threat exposure; Early engagement reduces access restrictions and resulting time-related costs. Not a simulation estimate or an approved acceptance decision.</t>
  </si>
  <si>
    <t>R18</t>
  </si>
  <si>
    <t>MEP coordination clash</t>
  </si>
  <si>
    <t>Electrical, plumbing or HVAC routes may conflict and require redesign/rework.</t>
  </si>
  <si>
    <t>Coordination</t>
  </si>
  <si>
    <t>Insufficient multidisciplinary coordination</t>
  </si>
  <si>
    <t>Complete multidisciplinary clash checks and coordinated installation drawings before MEP release.</t>
  </si>
  <si>
    <t>MEP rough-in and ceilings | V2.2 new assessments and responses are illustrative; original status/Active preserved as scenario attributes.</t>
  </si>
  <si>
    <t>ILLUSTRATIVE initial impact assessment: MEP clashes can delay several service trades and require redesign or installation rework.</t>
  </si>
  <si>
    <t>Before A12 electrical rough-in</t>
  </si>
  <si>
    <t>ILLUSTRATIVE post-response threat exposure; Resolved routing interfaces reduce installation rework, waiting and replacement materials. Not a simulation estimate or an approved acceptance decision.</t>
  </si>
  <si>
    <t>R19</t>
  </si>
  <si>
    <t>Waterproofing failure</t>
  </si>
  <si>
    <t>Waterproofing may fail testing and require removal and reapplication.</t>
  </si>
  <si>
    <t>Poor substrate/application or detailing</t>
  </si>
  <si>
    <t>Approve substrate preparation, inspect detailing and conduct staged flood tests before finishes.</t>
  </si>
  <si>
    <t>Wet areas and envelope | V2.2 new assessments and responses are illustrative; original status/Active preserved as scenario attributes.</t>
  </si>
  <si>
    <t>ILLUSTRATIVE initial impact assessment: Waterproofing defects can hold finishes and require removal, replacement and repeat testing.</t>
  </si>
  <si>
    <t>Before A16 waterproofing</t>
  </si>
  <si>
    <t>ILLUSTRATIVE post-response threat exposure; Staged acceptance reduces defects and confines removal/reapplication to smaller areas. Not a simulation estimate or an approved acceptance decision.</t>
  </si>
  <si>
    <t>R20</t>
  </si>
  <si>
    <t>Commissioning failure</t>
  </si>
  <si>
    <t>Systems may fail functional testing, causing troubleshooting and retesting.</t>
  </si>
  <si>
    <t>Installation/configuration defects</t>
  </si>
  <si>
    <t>Commissioning Manager</t>
  </si>
  <si>
    <t>Approve commissioning procedures and perform pre-functional checks before integrated testing.</t>
  </si>
  <si>
    <t>Late-stage systems | V2.2 new assessments and responses are illustrative; original status/Active preserved as scenario attributes.</t>
  </si>
  <si>
    <t>ILLUSTRATIVE initial impact assessment: Failed functional tests can delay handover and require troubleshooting and retesting.</t>
  </si>
  <si>
    <t>Before A27 commissioning</t>
  </si>
  <si>
    <t>ILLUSTRATIVE post-response threat exposure; Prechecks reduce failures and troubleshooting/retest costs at final commissioning. Not a simulation estimate or an approved acceptance decision.</t>
  </si>
  <si>
    <t>R21</t>
  </si>
  <si>
    <t>Prefabrication efficiency</t>
  </si>
  <si>
    <t>Off-site fabrication may reduce installation duration and site waste.</t>
  </si>
  <si>
    <t>Innovation</t>
  </si>
  <si>
    <t>Successful prefabrication / modularization</t>
  </si>
  <si>
    <t>Confirm prefabrication tolerances, approve shop drawings and coordinate off-site fabrication with installation.</t>
  </si>
  <si>
    <t>MEP and joinery opportunity | V2.2 new assessments and responses are illustrative; original status/Active preserved as scenario attributes.</t>
  </si>
  <si>
    <t>ILLUSTRATIVE initial impact assessment: Prefabrication can shorten installation and reduce waste in suitable MEP and joinery packages.</t>
  </si>
  <si>
    <t>Before A12 MEP fabrication release</t>
  </si>
  <si>
    <t>ILLUSTRATIVE post-response opportunity benefit; Prepared interfaces increase the chance and benefit of faster installation and reduced material waste. Not a simulation estimate or an approved acceptance decision.</t>
  </si>
  <si>
    <t>R22</t>
  </si>
  <si>
    <t>Bulk-purchase discount</t>
  </si>
  <si>
    <t>Consolidated procurement may reduce selected material costs.</t>
  </si>
  <si>
    <t>Supplier volume discount</t>
  </si>
  <si>
    <t>Aggregate procurement quantities and negotiate volume-price agreements with approved suppliers.</t>
  </si>
  <si>
    <t>Cost opportunity | V2.2 new assessments and responses are illustrative; original status/Active preserved as scenario attributes.</t>
  </si>
  <si>
    <t>ILLUSTRATIVE initial impact assessment: Volume purchasing can reduce material expenditure; no schedule benefit is mapped (minimum schedule class 1).</t>
  </si>
  <si>
    <t>Before material package orders</t>
  </si>
  <si>
    <t>ILLUSTRATIVE post-response opportunity benefit; Consolidated purchases increase discount likelihood and direct cost savings; no schedule saving is mapped. Not a simulation estimate or an approved acceptance decision.</t>
  </si>
  <si>
    <t>R23</t>
  </si>
  <si>
    <t>Early design freeze</t>
  </si>
  <si>
    <t>Timely closure of design decisions may reduce rework and improve flow.</t>
  </si>
  <si>
    <t>Strong design governance</t>
  </si>
  <si>
    <t>Enhance</t>
  </si>
  <si>
    <t>Obtain coordinated design sign-off and client decisions before downstream package release.</t>
  </si>
  <si>
    <t>Downstream execution benefit | V2.2 new assessments and responses are illustrative; original status/Active preserved as scenario attributes.</t>
  </si>
  <si>
    <t>ILLUSTRATIVE initial impact assessment: Early coordinated design decisions can avoid downstream waiting, revisions and direct rework costs.</t>
  </si>
  <si>
    <t>ILLUSTRATIVE post-response opportunity benefit; Earlier design closure increases avoided delay and direct redesign/rework savings. Not a simulation estimate or an approved acceptance decision.</t>
  </si>
  <si>
    <t>R24</t>
  </si>
  <si>
    <t>Accelerated authority approval</t>
  </si>
  <si>
    <t>Complete submissions and early engagement may shorten approval lead times.</t>
  </si>
  <si>
    <t>Effective authority coordination</t>
  </si>
  <si>
    <t>Hold an authority pre-submission meeting and submit a complete, checked approval package.</t>
  </si>
  <si>
    <t>Final approval opportunity | V2.2 new assessments and responses are illustrative; original status/Active preserved as scenario attributes.</t>
  </si>
  <si>
    <t>ILLUSTRATIVE initial impact assessment: Faster authority approval shortens handover lead time. A29 and A30 are fixed-fee examples, so no time-rate saving is modelled for those packages.</t>
  </si>
  <si>
    <t>Before A29 final inspection</t>
  </si>
  <si>
    <t>ILLUSTRATIVE opportunity benefit: complete early submissions increase the chance of shorter approval time. No time-rate cost saving is modelled for the fixed-fee final packages. Acceptance remains Pending.</t>
  </si>
  <si>
    <t>Distribution</t>
  </si>
  <si>
    <t>Impact_Fixed</t>
  </si>
  <si>
    <t>Impact_Min</t>
  </si>
  <si>
    <t>Impact_MostLikely</t>
  </si>
  <si>
    <t>Impact_Max</t>
  </si>
  <si>
    <t>Impact_Mean</t>
  </si>
  <si>
    <t>Impact_SD</t>
  </si>
  <si>
    <t>Parent_Risk</t>
  </si>
  <si>
    <t>Child_Risk</t>
  </si>
  <si>
    <t>Relationship_Type</t>
  </si>
  <si>
    <t>Influence_Parameter</t>
  </si>
  <si>
    <t>Causes/Increases</t>
  </si>
  <si>
    <t>Prolonged rainfall can increase groundwater/ground-condition difficulty.</t>
  </si>
  <si>
    <t>Late design change can increase MEP coordination clashes.</t>
  </si>
  <si>
    <t>Labour scarcity can worsen subcontractor delivery performance.</t>
  </si>
  <si>
    <t>Underperformance can increase quality failures and rework.</t>
  </si>
  <si>
    <t>Nonconforming work can delay inspection acceptance.</t>
  </si>
  <si>
    <t>Cash-flow constraints can delay material release and delivery.</t>
  </si>
  <si>
    <t>Unresolved MEP clashes can increase commissioning failures.</t>
  </si>
  <si>
    <t>Associated</t>
  </si>
  <si>
    <t>Waterproofing failure is a specific quality/rework mechanism.</t>
  </si>
  <si>
    <t>Reduces</t>
  </si>
  <si>
    <t>Early design freeze can reduce late design changes.</t>
  </si>
  <si>
    <t>Prefabrication can reduce site skilled-labour demand.</t>
  </si>
  <si>
    <t>Effective authority engagement can reduce approval delays.</t>
  </si>
  <si>
    <t>Validation Specification</t>
  </si>
  <si>
    <t>Area</t>
  </si>
  <si>
    <t>Rule</t>
  </si>
  <si>
    <t>Severity</t>
  </si>
  <si>
    <t>Example Message</t>
  </si>
  <si>
    <t>Action</t>
  </si>
  <si>
    <t>Activities</t>
  </si>
  <si>
    <t>Activity_ID must be unique and nonblank</t>
  </si>
  <si>
    <t>Error</t>
  </si>
  <si>
    <t>Duplicate Activity_ID: A03</t>
  </si>
  <si>
    <t>Stop simulation</t>
  </si>
  <si>
    <t>Network</t>
  </si>
  <si>
    <t>Every predecessor must reference an existing Activity_ID</t>
  </si>
  <si>
    <t>A07 references unknown predecessor A99</t>
  </si>
  <si>
    <t>Network must be acyclic</t>
  </si>
  <si>
    <t>Circular relationship detected</t>
  </si>
  <si>
    <t>Duration values must be non-negative</t>
  </si>
  <si>
    <t>A04 has negative duration</t>
  </si>
  <si>
    <t>3-point distributions</t>
  </si>
  <si>
    <t>Min ≤ Most Likely ≤ Max</t>
  </si>
  <si>
    <t>A07: Most Likely (12) exceeds Max (9)</t>
  </si>
  <si>
    <t>Normal distribution</t>
  </si>
  <si>
    <t>Mean required; SD must be &gt; 0</t>
  </si>
  <si>
    <t>A04: Normal SD must be &gt; 0</t>
  </si>
  <si>
    <t>Risk</t>
  </si>
  <si>
    <t>Risk_ID must be unique and nonblank</t>
  </si>
  <si>
    <t>Duplicate Risk_ID: R02</t>
  </si>
  <si>
    <t>Probability must be between 0 and 1</t>
  </si>
  <si>
    <t>R03 probability = 1.30</t>
  </si>
  <si>
    <t>Mapping</t>
  </si>
  <si>
    <t>Risk_ID must exist in Risk_Register</t>
  </si>
  <si>
    <t>Mapping references unknown risk R09</t>
  </si>
  <si>
    <t>Activity_ID must exist in Activities</t>
  </si>
  <si>
    <t>R04 maps to unknown activity A18</t>
  </si>
  <si>
    <t>Impact parameters must match selected distribution</t>
  </si>
  <si>
    <t>R02/A04 missing triangular mode</t>
  </si>
  <si>
    <t>Optional fields</t>
  </si>
  <si>
    <t>Blank optional values are permitted</t>
  </si>
  <si>
    <t>Info</t>
  </si>
  <si>
    <t>Owner not supplied for R05</t>
  </si>
  <si>
    <t>Continue</t>
  </si>
  <si>
    <t>Text input</t>
  </si>
  <si>
    <t>Trim leading/trailing spaces where safe</t>
  </si>
  <si>
    <t>' A03 ' normalized to 'A03'</t>
  </si>
  <si>
    <t>Normalize</t>
  </si>
  <si>
    <t>Scenario</t>
  </si>
  <si>
    <t>Active Risks</t>
  </si>
  <si>
    <t>Meaning</t>
  </si>
  <si>
    <t>ΔMean</t>
  </si>
  <si>
    <t>ΔP50</t>
  </si>
  <si>
    <t>ΔP90</t>
  </si>
  <si>
    <t>S0</t>
  </si>
  <si>
    <t>None</t>
  </si>
  <si>
    <t>Activity uncertainty only; no tested discrete risks</t>
  </si>
  <si>
    <t>S1</t>
  </si>
  <si>
    <t>R1</t>
  </si>
  <si>
    <t>Highest-ranked selected risk</t>
  </si>
  <si>
    <t>S2</t>
  </si>
  <si>
    <t>R1 + R2</t>
  </si>
  <si>
    <t>Cumulative addition of second-ranked risk</t>
  </si>
  <si>
    <t>S3</t>
  </si>
  <si>
    <t>R1 + R2 + R3</t>
  </si>
  <si>
    <t>Cumulative addition of third-ranked risk</t>
  </si>
  <si>
    <t>S5</t>
  </si>
  <si>
    <t>Top 5 active risks</t>
  </si>
  <si>
    <t>Concentrated high-priority exposure</t>
  </si>
  <si>
    <t>ST</t>
  </si>
  <si>
    <t>All active risks</t>
  </si>
  <si>
    <t>Total project risk exposure</t>
  </si>
  <si>
    <t>Interpretation</t>
  </si>
  <si>
    <t>Simulation control</t>
  </si>
  <si>
    <t>V2.2 residential construction demonstration case</t>
  </si>
  <si>
    <t>Case characteristic</t>
  </si>
  <si>
    <t>Representation</t>
  </si>
  <si>
    <t>Teaching dimension</t>
  </si>
  <si>
    <t>Options demonstrated</t>
  </si>
  <si>
    <t>30 interconnected construction activities</t>
  </si>
  <si>
    <t>Local / Global</t>
  </si>
  <si>
    <t>Local may affect one or several mapped activities; Global is project-wide.</t>
  </si>
  <si>
    <t>Risks</t>
  </si>
  <si>
    <t>24 risks: threats and opportunities</t>
  </si>
  <si>
    <t>Risk type</t>
  </si>
  <si>
    <t>Threat / Opportunity</t>
  </si>
  <si>
    <t>Allows adverse and beneficial uncertainty.</t>
  </si>
  <si>
    <t>Local and Global only</t>
  </si>
  <si>
    <t>Impact target</t>
  </si>
  <si>
    <t>Duration / Cost / Both</t>
  </si>
  <si>
    <t>Demonstrates schedule, cost and joint effects.</t>
  </si>
  <si>
    <t>Activity distributions</t>
  </si>
  <si>
    <t>Fixed, Triangular, Beta-PERT, Normal</t>
  </si>
  <si>
    <t>Open / Monitoring / Closed</t>
  </si>
  <si>
    <t>Shows different risk lifecycle states.</t>
  </si>
  <si>
    <t>Risk distributions</t>
  </si>
  <si>
    <t>Activity uncertainty</t>
  </si>
  <si>
    <t>4 distributions</t>
  </si>
  <si>
    <t>Balanced use across the 30 activities.</t>
  </si>
  <si>
    <t>Threat responses</t>
  </si>
  <si>
    <t>Avoid, Mitigate, Transfer, Accept</t>
  </si>
  <si>
    <t>Risk response</t>
  </si>
  <si>
    <t>7 strategy labels</t>
  </si>
  <si>
    <t>Threat and opportunity strategies are represented.</t>
  </si>
  <si>
    <t>Opportunity responses</t>
  </si>
  <si>
    <t>Exploit, Enhance, Share, Accept</t>
  </si>
  <si>
    <t>Relationships</t>
  </si>
  <si>
    <t>Inactive examples included</t>
  </si>
  <si>
    <t>Dependency layer available without forcing it into the base run.</t>
  </si>
  <si>
    <t>Project risk category reference</t>
  </si>
  <si>
    <t>Definition</t>
  </si>
  <si>
    <t>Contract terms, claims, pricing and commercial arrangements.</t>
  </si>
  <si>
    <t>Contractor or subcontractor capability and delivery performance.</t>
  </si>
  <si>
    <t>Interfaces, communication and alignment between project participants.</t>
  </si>
  <si>
    <t>Design completeness, changes, errors and design decisions.</t>
  </si>
  <si>
    <t>Weather, environmental conditions and environmental constraints.</t>
  </si>
  <si>
    <t>Equipment availability, reliability and performance.</t>
  </si>
  <si>
    <t>Funding, cash flow and access to financial resources.</t>
  </si>
  <si>
    <t>Ground, groundwater and subsurface conditions.</t>
  </si>
  <si>
    <t>Health, safety and environmental protection during work.</t>
  </si>
  <si>
    <t>New methods, technology and opportunities for improved delivery.</t>
  </si>
  <si>
    <t>Execution processes, work sequencing and site operations.</t>
  </si>
  <si>
    <t>Conformance, defects, inspection and rework.</t>
  </si>
  <si>
    <t>Permits, approvals and regulatory requirements.</t>
  </si>
  <si>
    <t>Workforce capacity, skills and other resource availability.</t>
  </si>
  <si>
    <t>Theft, unauthorised access and site security.</t>
  </si>
  <si>
    <t>Stakeholder expectations, engagement and external acceptance.</t>
  </si>
  <si>
    <t>Material procurement, supplier availability and delivery.</t>
  </si>
  <si>
    <t>Engineering feasibility, technical systems and performance.</t>
  </si>
  <si>
    <t>Treatment scenario assumptions</t>
  </si>
  <si>
    <t>Treated_Probability</t>
  </si>
  <si>
    <t>Duration_Impact_Multiplier</t>
  </si>
  <si>
    <t>Cost_Impact_Multiplier</t>
  </si>
  <si>
    <t>Assumption_Rationale</t>
  </si>
  <si>
    <t>ILLUSTRATIVE scenario assumption: Early procurement reduces delivery interruptions; remaining delays still generate time-related costs. Treatment implementation cost is not included.</t>
  </si>
  <si>
    <t>ILLUSTRATIVE scenario assumption: Stable crews increase the likelihood and size of schedule benefits; rate-based costs fall with shorter durations. Treatment implementation cost is not included.</t>
  </si>
  <si>
    <t>ILLUSTRATIVE scenario assumption: Controls reduce disruption severity; they do not change the probability of adverse weather. Treatment implementation cost is not included.</t>
  </si>
  <si>
    <t>ILLUSTRATIVE scenario assumption: Investigation does not change ground conditions; preparedness reduces resulting delay and additional ground-treatment costs. Treatment implementation cost is not included.</t>
  </si>
  <si>
    <t>ILLUSTRATIVE scenario assumption: Coordinated released drawings reduce late changes and associated redesign/rework. Treatment implementation cost is not included.</t>
  </si>
  <si>
    <t>ILLUSTRATIVE scenario assumption: Earlier complete submissions reduce administrative waiting; future-stage inspection exposure remains modelled. Treatment implementation cost is not included.</t>
  </si>
  <si>
    <t>ILLUSTRATIVE scenario assumption: Labour commitments reduce shortages; standby arrangements limit delay and recruitment premiums. Treatment implementation cost is not included.</t>
  </si>
  <si>
    <t>ILLUSTRATIVE scenario assumption: Maintenance reduces breakdown likelihood; replacement arrangements reduce downtime and emergency costs. Treatment implementation cost is not included.</t>
  </si>
  <si>
    <t>ILLUSTRATIVE scenario assumption: Market-price changes remain possible; purchasing arrangements reduce the exposed cost increment. Treatment implementation cost is not included.</t>
  </si>
  <si>
    <t>ILLUSTRATIVE scenario assumption: Capability checks and recovery planning reduce delivery failure and incremental remedial costs. Treatment implementation cost is not included.</t>
  </si>
  <si>
    <t>ILLUSTRATIVE scenario assumption: First-work approval and inspection reduce defects and limit the scope of direct rework. Treatment implementation cost is not included.</t>
  </si>
  <si>
    <t>ILLUSTRATIVE scenario assumption: Controls reduce incident likelihood; severe consequences remain possible and require HSE review regardless of screening score. Treatment implementation cost is not included.</t>
  </si>
  <si>
    <t>ILLUSTRATIVE scenario assumption: Early utility verification reduces clashes and resulting relocation/rework. Treatment implementation cost is not included.</t>
  </si>
  <si>
    <t>ILLUSTRATIVE scenario assumption: Clear deadlines and escalation reduce approval waiting; indirect time costs remain. Treatment implementation cost is not included.</t>
  </si>
  <si>
    <t>ILLUSTRATIVE scenario assumption: Payment readiness and liquidity buffers reduce disruption; financing and remobilisation costs remain possible. Treatment implementation cost is not included.</t>
  </si>
  <si>
    <t>ILLUSTRATIVE scenario assumption: Security measures reduce loss likelihood and unrecovered replacement costs; no direct schedule consequence is mapped. Treatment implementation cost is not included.</t>
  </si>
  <si>
    <t>ILLUSTRATIVE scenario assumption: Early engagement reduces access restrictions and resulting time-related costs. Treatment implementation cost is not included.</t>
  </si>
  <si>
    <t>ILLUSTRATIVE scenario assumption: Resolved routing interfaces reduce installation rework, waiting and replacement materials. Treatment implementation cost is not included.</t>
  </si>
  <si>
    <t>ILLUSTRATIVE scenario assumption: Staged acceptance reduces defects and confines removal/reapplication to smaller areas. Treatment implementation cost is not included.</t>
  </si>
  <si>
    <t>ILLUSTRATIVE scenario assumption: Prechecks reduce failures and troubleshooting/retest costs at final commissioning. Treatment implementation cost is not included.</t>
  </si>
  <si>
    <t>ILLUSTRATIVE scenario assumption: Prepared interfaces increase the chance and benefit of faster installation and reduced material waste. Treatment implementation cost is not included.</t>
  </si>
  <si>
    <t>ILLUSTRATIVE scenario assumption: Consolidated purchases increase discount likelihood and direct cost savings; no schedule saving is mapped. Treatment implementation cost is not included.</t>
  </si>
  <si>
    <t>ILLUSTRATIVE scenario assumption: Earlier design closure increases avoided delay and direct redesign/rework savings. Treatment implementation cost is not included.</t>
  </si>
  <si>
    <t>ILLUSTRATIVE scenario assumption: complete early submissions increase the probability and magnitude of shorter approval time. Final approval/handover fees are fixed; no rate saving is assumed. Response implementation costs are excluded.</t>
  </si>
  <si>
    <t>V2.2 illustrative activity cost assumptions</t>
  </si>
  <si>
    <t>Original_Base_Cost</t>
  </si>
  <si>
    <t>Reference_Duration</t>
  </si>
  <si>
    <t>Time_Dependent_Share</t>
  </si>
  <si>
    <t>Reference_Total</t>
  </si>
  <si>
    <t>Basis</t>
  </si>
  <si>
    <t>ILLUSTRATIVE fixed and resource-occupancy cost split; reference budget retained.</t>
  </si>
  <si>
    <t>ILLUSTRATIVE fixed-price package/fee; ordinary duration variation does not change price. Explicit direct risk costs remain separate.</t>
  </si>
  <si>
    <t>Residential Building Project - V2.2 illustrative case</t>
  </si>
  <si>
    <t>4. Risk-Activity Mapping</t>
  </si>
  <si>
    <t>5. Optional Risk-Risk Relationships - Advanced / Future Layer</t>
  </si>
  <si>
    <t>Risk Portrait - Scenario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</si>
</sst>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0">
    <font>
      <sz val="11"/>
      <name val="Carlito"/>
    </font>
    <font>
      <b/>
      <sz val="14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rgb="FF17365D"/>
      <name val="Times New Roman"/>
      <family val="1"/>
    </font>
    <font>
      <b/>
      <sz val="11"/>
      <color rgb="FFFFFFFF"/>
      <name val="Times New Roman"/>
      <family val="1"/>
    </font>
    <font>
      <i/>
      <sz val="11"/>
      <color rgb="FF7F6000"/>
      <name val="Times New Roman"/>
      <family val="1"/>
    </font>
    <font>
      <b/>
      <sz val="10"/>
      <color rgb="FFFFFFFF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theme="0"/>
      </patternFill>
    </fill>
    <fill>
      <patternFill patternType="solid">
        <fgColor rgb="FF254B63"/>
      </patternFill>
    </fill>
    <fill>
      <patternFill patternType="solid">
        <fgColor rgb="FFEDF3F5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E7E6E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7" borderId="0" xfId="0" applyFont="1" applyFill="1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9" fillId="9" borderId="2" xfId="0" applyFont="1" applyFill="1" applyBorder="1" applyAlignment="1">
      <alignment vertical="center" wrapText="1"/>
    </xf>
    <xf numFmtId="0" fontId="2" fillId="0" borderId="1" xfId="0" applyFont="1" applyBorder="1"/>
    <xf numFmtId="0" fontId="2" fillId="0" borderId="0" xfId="0" applyFont="1" applyAlignment="1">
      <alignment horizontal="center"/>
    </xf>
    <xf numFmtId="0" fontId="3" fillId="7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wrapText="1"/>
    </xf>
    <xf numFmtId="0" fontId="2" fillId="7" borderId="1" xfId="0" applyFont="1" applyFill="1" applyBorder="1"/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4" fontId="2" fillId="12" borderId="1" xfId="0" applyNumberFormat="1" applyFont="1" applyFill="1" applyBorder="1" applyAlignment="1">
      <alignment horizontal="center" wrapText="1"/>
    </xf>
    <xf numFmtId="4" fontId="2" fillId="4" borderId="1" xfId="0" applyNumberFormat="1" applyFont="1" applyFill="1" applyBorder="1" applyAlignment="1">
      <alignment horizontal="center" wrapText="1"/>
    </xf>
    <xf numFmtId="4" fontId="2" fillId="7" borderId="1" xfId="0" applyNumberFormat="1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/>
    </xf>
    <xf numFmtId="4" fontId="2" fillId="12" borderId="1" xfId="0" applyNumberFormat="1" applyFont="1" applyFill="1" applyBorder="1" applyAlignment="1">
      <alignment horizontal="center" vertical="center" wrapText="1"/>
    </xf>
    <xf numFmtId="4" fontId="2" fillId="10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49" fontId="2" fillId="10" borderId="1" xfId="0" applyNumberFormat="1" applyFont="1" applyFill="1" applyBorder="1" applyAlignment="1">
      <alignment vertical="center" wrapText="1"/>
    </xf>
    <xf numFmtId="164" fontId="2" fillId="10" borderId="1" xfId="0" applyNumberFormat="1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165" fontId="2" fillId="10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wrapText="1"/>
    </xf>
    <xf numFmtId="9" fontId="2" fillId="7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165" fontId="9" fillId="9" borderId="1" xfId="0" applyNumberFormat="1" applyFont="1" applyFill="1" applyBorder="1" applyAlignment="1">
      <alignment horizontal="center" vertical="center" wrapText="1"/>
    </xf>
    <xf numFmtId="165" fontId="9" fillId="9" borderId="2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vertical="center" wrapText="1"/>
    </xf>
    <xf numFmtId="4" fontId="9" fillId="12" borderId="1" xfId="0" applyNumberFormat="1" applyFont="1" applyFill="1" applyBorder="1" applyAlignment="1">
      <alignment horizontal="center" vertical="center" wrapText="1"/>
    </xf>
    <xf numFmtId="9" fontId="9" fillId="10" borderId="1" xfId="0" applyNumberFormat="1" applyFont="1" applyFill="1" applyBorder="1" applyAlignment="1">
      <alignment horizontal="center" vertical="center" wrapText="1"/>
    </xf>
    <xf numFmtId="4" fontId="9" fillId="10" borderId="1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/>
    </xf>
    <xf numFmtId="0" fontId="2" fillId="7" borderId="1" xfId="0" applyFont="1" applyFill="1" applyBorder="1"/>
    <xf numFmtId="0" fontId="1" fillId="7" borderId="0" xfId="0" applyFont="1" applyFill="1" applyAlignment="1">
      <alignment horizontal="left" vertical="center"/>
    </xf>
    <xf numFmtId="0" fontId="2" fillId="7" borderId="0" xfId="0" applyFont="1" applyFill="1"/>
    <xf numFmtId="0" fontId="6" fillId="5" borderId="1" xfId="0" applyFont="1" applyFill="1" applyBorder="1" applyAlignment="1">
      <alignment wrapText="1"/>
    </xf>
    <xf numFmtId="0" fontId="2" fillId="0" borderId="1" xfId="0" applyFont="1" applyBorder="1"/>
    <xf numFmtId="0" fontId="1" fillId="7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wrapText="1" vertical="center"/>
    </xf>
    <xf numFmtId="49" fontId="2" fillId="3" borderId="1" xfId="0" applyFont="1" applyFill="1" applyBorder="1" applyAlignment="1" applyNumberFormat="1">
      <alignment horizontal="center" wrapText="1" vertical="center"/>
    </xf>
    <xf numFmtId="0" fontId="2" fillId="3" borderId="1" xfId="0" applyFont="1" applyFill="1" applyBorder="1" applyAlignment="1">
      <alignment wrapText="1" vertical="center"/>
    </xf>
    <xf numFmtId="49" fontId="2" fillId="3" borderId="1" xfId="0" applyFont="1" applyFill="1" applyBorder="1" applyAlignment="1" applyNumberFormat="1">
      <alignment wrapText="1"/>
    </xf>
    <xf numFmtId="4" fontId="2" fillId="10" borderId="1" xfId="0" applyNumberFormat="1" applyFont="1" applyFill="1" applyBorder="1" applyAlignment="1">
      <alignment horizontal="center" vertical="center" wrapText="1"/>
    </xf>
    <xf numFmtId="49" fontId="2" fillId="3" borderId="1" xfId="0" applyFont="1" applyFill="1" applyBorder="1" applyAlignment="1" applyNumberFormat="1">
      <alignment wrapText="1" vertical="center"/>
    </xf>
    <xf numFmtId="0" fontId="2" fillId="4" borderId="1" xfId="0" applyFont="1" applyFill="1" applyBorder="1" applyAlignment="1">
      <alignment horizontal="center" wrapText="1" vertical="center"/>
    </xf>
    <xf numFmtId="0" fontId="2" fillId="4" borderId="1" xfId="0" applyFont="1" applyFill="1" applyBorder="1" applyAlignment="1">
      <alignment wrapText="1" vertical="center"/>
    </xf>
    <xf numFmtId="0" fontId="9" fillId="9" borderId="1" xfId="0" applyFont="1" applyFill="1" applyBorder="1" applyAlignment="1">
      <alignment horizontal="center" vertical="center" wrapText="1"/>
    </xf>
    <xf numFmtId="49" fontId="9" fillId="9" borderId="1" xfId="0" applyFont="1" applyFill="1" applyBorder="1" applyAlignment="1" applyNumberFormat="1">
      <alignment horizontal="center" vertical="center" wrapText="1"/>
    </xf>
    <xf numFmtId="0" fontId="9" fillId="9" borderId="1" xfId="0" applyFont="1" applyFill="1" applyBorder="1" applyAlignment="1">
      <alignment vertical="center" wrapText="1"/>
    </xf>
    <xf numFmtId="0" fontId="9" fillId="11" borderId="1" xfId="0" applyFont="1" applyFill="1" applyBorder="1" applyAlignment="1">
      <alignment horizontal="center" vertical="center" wrapText="1"/>
    </xf>
    <xf numFmtId="49" fontId="9" fillId="11" borderId="1" xfId="0" applyFont="1" applyFill="1" applyBorder="1" applyAlignment="1" applyNumberFormat="1">
      <alignment horizontal="center" vertical="center" wrapText="1"/>
    </xf>
    <xf numFmtId="0" fontId="9" fillId="11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 vertical="center"/>
    </xf>
    <xf numFmtId="0" fontId="2" fillId="0" borderId="1" xfId="0" applyFont="1" applyBorder="1" applyAlignment="1">
      <alignment wrapText="1" vertical="center"/>
    </xf>
    <xf numFmtId="0" fontId="2" fillId="3" borderId="1" xfId="0" applyFont="1" applyFill="1" applyBorder="1" applyAlignment="1">
      <alignment wrapText="1" vertical="center"/>
    </xf>
    <xf numFmtId="0" fontId="2" fillId="0" borderId="1" xfId="0" applyFont="1" applyBorder="1" applyAlignment="1">
      <alignment horizontal="center" wrapText="1" vertical="center"/>
    </xf>
    <xf numFmtId="0" fontId="3" fillId="7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wrapText="1" vertical="center"/>
    </xf>
    <xf numFmtId="0" fontId="5" fillId="6" borderId="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7">
    <dxf>
      <fill>
        <patternFill>
          <bgColor rgb="FFE7E6E6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FF2CC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ivitiesTable" displayName="ActivitiesTable" ref="A2:K99" totalsRowShown="0" headerRowDxfId="48" dataDxfId="47">
  <tableColumns count="11">
    <tableColumn id="1" xr3:uid="{00000000-0010-0000-0000-000001000000}" name="Activity_ID" dataDxfId="46"/>
    <tableColumn id="2" xr3:uid="{00000000-0010-0000-0000-000002000000}" name="Activity_Name" dataDxfId="45"/>
    <tableColumn id="3" xr3:uid="{00000000-0010-0000-0000-000003000000}" name="Predecessors" dataDxfId="44"/>
    <tableColumn id="4" xr3:uid="{00000000-0010-0000-0000-000004000000}" name="Duration_Model" dataDxfId="43"/>
    <tableColumn id="5" xr3:uid="{00000000-0010-0000-0000-000005000000}" name="Duration_Fixed" dataDxfId="42"/>
    <tableColumn id="6" xr3:uid="{00000000-0010-0000-0000-000006000000}" name="Duration_Min" dataDxfId="41"/>
    <tableColumn id="7" xr3:uid="{00000000-0010-0000-0000-000007000000}" name="Duration_MostLikely" dataDxfId="40"/>
    <tableColumn id="8" xr3:uid="{00000000-0010-0000-0000-000008000000}" name="Duration_Max" dataDxfId="39"/>
    <tableColumn id="9" xr3:uid="{00000000-0010-0000-0000-000009000000}" name="Duration_Mean" dataDxfId="38"/>
    <tableColumn id="10" xr3:uid="{00000000-0010-0000-0000-00000A000000}" name="Duration_SD" dataDxfId="37"/>
    <tableColumn id="11" xr3:uid="{00000000-0010-0000-0000-00000B000000}" name="Fixed_Cost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iskRegisterTable" displayName="RiskRegisterTable" ref="A2:P99" totalsRowShown="0" headerRowDxfId="66" dataDxfId="65">
  <tableColumns count="16">
    <tableColumn id="1" xr3:uid="{00000000-0010-0000-0100-000001000000}" name="Risk_ID" dataDxfId="64"/>
    <tableColumn id="2" xr3:uid="{00000000-0010-0000-0100-000002000000}" name="Risk_Name" dataDxfId="63"/>
    <tableColumn id="3" xr3:uid="{00000000-0010-0000-0100-000003000000}" name="Risk_Statement" dataDxfId="62"/>
    <tableColumn id="4" xr3:uid="{00000000-0010-0000-0100-000004000000}" name="Category" dataDxfId="61"/>
    <tableColumn id="5" xr3:uid="{00000000-0010-0000-0100-000005000000}" name="Risk_Type" dataDxfId="60"/>
    <tableColumn id="6" xr3:uid="{00000000-0010-0000-0100-000006000000}" name="Probability" dataDxfId="59"/>
    <tableColumn id="7" xr3:uid="{00000000-0010-0000-0100-000007000000}" name="Scope" dataDxfId="58"/>
    <tableColumn id="8" xr3:uid="{00000000-0010-0000-0100-000008000000}" name="Impact_Type" dataDxfId="57"/>
    <tableColumn id="9" xr3:uid="{00000000-0010-0000-0100-000009000000}" name="Trigger_Cause" dataDxfId="56"/>
    <tableColumn id="10" xr3:uid="{00000000-0010-0000-0100-00000A000000}" name="Owner" dataDxfId="55"/>
    <tableColumn id="11" xr3:uid="{00000000-0010-0000-0100-00000B000000}" name="Response_Strategy" dataDxfId="54"/>
    <tableColumn id="12" xr3:uid="{00000000-0010-0000-0100-00000C000000}" name="Response_Action" dataDxfId="53"/>
    <tableColumn id="13" xr3:uid="{00000000-0010-0000-0100-00000D000000}" name="Status" dataDxfId="52"/>
    <tableColumn id="14" xr3:uid="{00000000-0010-0000-0100-00000E000000}" name="Impact_Distribution_Default" dataDxfId="51"/>
    <tableColumn id="15" xr3:uid="{00000000-0010-0000-0100-00000F000000}" name="Notes" dataDxfId="50"/>
    <tableColumn id="16" xr3:uid="{00000000-0010-0000-0100-000010000000}" name="Active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iskActivityMapTable" displayName="RiskActivityMapTable" ref="A2:J99" totalsRowShown="0" headerRowDxfId="35" dataDxfId="34">
  <tableColumns count="10">
    <tableColumn id="1" xr3:uid="{00000000-0010-0000-0200-000001000000}" name="Risk_ID" dataDxfId="33"/>
    <tableColumn id="2" xr3:uid="{00000000-0010-0000-0200-000002000000}" name="Activity_ID" dataDxfId="32"/>
    <tableColumn id="3" xr3:uid="{00000000-0010-0000-0200-000003000000}" name="Impact_Type" dataDxfId="31"/>
    <tableColumn id="4" xr3:uid="{00000000-0010-0000-0200-000004000000}" name="Distribution" dataDxfId="30"/>
    <tableColumn id="5" xr3:uid="{00000000-0010-0000-0200-000005000000}" name="Impact_Fixed" dataDxfId="29"/>
    <tableColumn id="6" xr3:uid="{00000000-0010-0000-0200-000006000000}" name="Impact_Min" dataDxfId="28"/>
    <tableColumn id="7" xr3:uid="{00000000-0010-0000-0200-000007000000}" name="Impact_MostLikely" dataDxfId="27"/>
    <tableColumn id="8" xr3:uid="{00000000-0010-0000-0200-000008000000}" name="Impact_Max" dataDxfId="26"/>
    <tableColumn id="9" xr3:uid="{00000000-0010-0000-0200-000009000000}" name="Impact_Mean" dataDxfId="25"/>
    <tableColumn id="10" xr3:uid="{00000000-0010-0000-0200-00000A000000}" name="Impact_SD" dataDxfId="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skRelationshipsTable" displayName="RiskRelationshipsTable" ref="A2:F99" totalsRowShown="0" headerRowDxfId="23" dataDxfId="22">
  <tableColumns count="6">
    <tableColumn id="1" xr3:uid="{00000000-0010-0000-0300-000001000000}" name="Parent_Risk" dataDxfId="21"/>
    <tableColumn id="2" xr3:uid="{00000000-0010-0000-0300-000002000000}" name="Child_Risk" dataDxfId="20"/>
    <tableColumn id="3" xr3:uid="{00000000-0010-0000-0300-000003000000}" name="Relationship_Type" dataDxfId="19"/>
    <tableColumn id="4" xr3:uid="{00000000-0010-0000-0300-000004000000}" name="Influence_Parameter" dataDxfId="18"/>
    <tableColumn id="5" xr3:uid="{00000000-0010-0000-0300-000005000000}" name="Active" dataDxfId="17"/>
    <tableColumn id="6" xr3:uid="{00000000-0010-0000-0300-000006000000}" name="Notes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alidationSpecTable" displayName="ValidationSpecTable" ref="A2:E15" totalsRowShown="0" headerRowDxfId="15" dataDxfId="14">
  <tableColumns count="5">
    <tableColumn id="1" xr3:uid="{00000000-0010-0000-0400-000001000000}" name="Area" dataDxfId="13"/>
    <tableColumn id="2" xr3:uid="{00000000-0010-0000-0400-000002000000}" name="Rule" dataDxfId="12"/>
    <tableColumn id="3" xr3:uid="{00000000-0010-0000-0400-000003000000}" name="Severity" dataDxfId="11"/>
    <tableColumn id="4" xr3:uid="{00000000-0010-0000-0400-000004000000}" name="Example Message" dataDxfId="10"/>
    <tableColumn id="5" xr3:uid="{00000000-0010-0000-0400-000005000000}" name="Actio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workbookViewId="0">
      <selection activeCell="B11" sqref="B11"/>
    </sheetView>
  </sheetViews>
  <sheetFormatPr defaultRowHeight="15"/>
  <cols>
    <col min="1" max="1" width="24" style="12" customWidth="1"/>
    <col min="2" max="2" width="167.5" style="2" customWidth="1"/>
    <col min="3" max="16384" width="9" style="2"/>
  </cols>
  <sheetData>
    <row r="1" spans="1:8" s="1" customFormat="1" ht="23.25" customHeight="1">
      <c r="A1" s="94" t="inlineStr">
        <is>
          <t>Irrigation project — stage 2</t>
        </is>
      </c>
      <c r="B1" s="56"/>
      <c r="C1" s="56"/>
      <c r="D1" s="56"/>
      <c r="E1" s="56"/>
      <c r="F1" s="56"/>
      <c r="G1" s="56"/>
      <c r="H1" s="56"/>
    </row>
    <row r="2" spans="1:8" ht="85" customHeight="1">
      <c r="A2" s="90" t="inlineStr">
        <is>
          <t>Source / Fonte</t>
        </is>
      </c>
      <c r="B2" s="91" t="inlineStr">
        <is>
          <t>estudo de caso Irrigação (1).docx</t>
        </is>
      </c>
    </row>
    <row r="3" spans="1:8" ht="85" customHeight="1">
      <c r="A3" s="90" t="inlineStr">
        <is>
          <t>Scope / Escopo</t>
        </is>
      </c>
      <c r="B3" s="91" t="inlineStr">
        <is>
          <t>15 activities, 8 risks, 16 mappings.</t>
        </is>
      </c>
    </row>
    <row r="4" spans="1:8" ht="180" customHeight="1">
      <c r="A4" s="90" t="inlineStr">
        <is>
          <t>Decisions / Decisões</t>
        </is>
      </c>
      <c r="B4" s="91" t="inlineStr">
        <is>
          <t>Schedule-only case: no cost estimates or targets are supplied; zero cost inputs disable costs and are not estimates. User confirmed R8 -&gt; Material Review 2.4, Triangular impacts for R1/R2/R5/R6/R8, and Normal impacts for R3. Four source activity correlations are documented in Case_Summary but are not simulated. The existing Normal zero-floor policy and shared-risk/independent-impact procedure remain in effect.</t>
        </is>
      </c>
    </row>
    <row r="5" spans="1:8" ht="85" customHeight="1">
      <c r="A5" s="90" t="inlineStr">
        <is>
          <t>Input colors / Cores</t>
        </is>
      </c>
      <c r="B5" s="91" t="inlineStr">
        <is>
          <t>Original green input cells, grey optional/calculated cells, yellow required duration/cost parameters and green required mapped impacts retained.</t>
        </is>
      </c>
    </row>
    <row r="6" spans="1:8" ht="85" customHeight="1">
      <c r="A6" s="90" t="inlineStr">
        <is>
          <t>Occurrence / Ocorrência</t>
        </is>
      </c>
      <c r="B6" s="91" t="inlineStr">
        <is>
          <t>One occurrence per risk/iteration, applied to its two mappings; magnitudes sampled independently as in the existing model.</t>
        </is>
      </c>
    </row>
    <row r="7" spans="1:8" ht="85" customHeight="1">
      <c r="A7" s="90" t="inlineStr">
        <is>
          <t>Costs / Custos</t>
        </is>
      </c>
      <c r="B7" s="91" t="inlineStr">
        <is>
          <t>No cost estimates supplied; all cost values are disabled at zero. Zero outputs are not cost estimates.</t>
        </is>
      </c>
    </row>
    <row r="8" spans="1:8" ht="85" customHeight="1">
      <c r="A8" s="90" t="inlineStr">
        <is>
          <t>Treatments / Tratamentos</t>
        </is>
      </c>
      <c r="B8" s="91" t="inlineStr">
        <is>
          <t>No treatment effectiveness supplied; no treatment assumptions invented.</t>
        </is>
      </c>
    </row>
    <row r="9" spans="1:8" ht="85" customHeight="1">
      <c r="A9" s="90" t="inlineStr">
        <is>
          <t>Correlations / Correlações</t>
        </is>
      </c>
      <c r="B9" s="91" t="inlineStr">
        <is>
          <t>Four source correlations are retained in Case_Summary but not applied by this model.</t>
        </is>
      </c>
    </row>
    <row r="10" spans="1:8" ht="85" customHeight="1">
      <c r="A10" s="90" t="inlineStr">
        <is>
          <t>Identifiers / Identificadores</t>
        </is>
      </c>
      <c r="B10" s="91" t="inlineStr">
        <is>
          <t>Activity IDs such as 2.1 and 2.10 are distinct text identifiers; do not convert them to numbers.</t>
        </is>
      </c>
    </row>
    <row r="11" spans="1:8" ht="85" customHeight="1">
      <c r="A11" s="92" t="inlineStr">
        <is>
          <t>Recalculate / Recalcular</t>
        </is>
      </c>
      <c r="B11" s="91" t="inlineStr">
        <is>
          <t>Recalculate and save in Excel after editing, before uploading.</t>
        </is>
      </c>
    </row>
    <row r="12" spans="1:8" ht="85" customHeight="1">
      <c r="A12" s="92" t="inlineStr">
        <is>
          <t>Reference means / Médias</t>
        </is>
      </c>
      <c r="B12" s="91" t="inlineStr">
        <is>
          <t>Exponential uses Mean only; Normal uses Mean and SD; three-point impacts follow the user-confirmed distributions.</t>
        </is>
      </c>
    </row>
    <row r="13" spans="1:8" ht="12.75" customHeight="1">
      <c r="A13" s="11"/>
      <c r="B13" s="3"/>
    </row>
    <row r="14" spans="1:8" ht="12.75" customHeight="1">
      <c r="A14" s="11"/>
      <c r="B14" s="3"/>
    </row>
    <row r="15" spans="1:8" ht="12.75" customHeight="1">
      <c r="A15" s="11"/>
      <c r="B15" s="3"/>
    </row>
    <row r="16" spans="1:8" ht="12.75" customHeight="1">
      <c r="A16" s="11"/>
      <c r="B16" s="3"/>
    </row>
    <row r="17" spans="1:2" ht="12.75" customHeight="1">
      <c r="A17" s="11"/>
      <c r="B17" s="3"/>
    </row>
    <row r="18" spans="1:2" ht="12.75" customHeight="1">
      <c r="A18" s="11"/>
      <c r="B18" s="3"/>
    </row>
    <row r="19" spans="1:2" ht="12.75" customHeight="1">
      <c r="A19" s="11"/>
      <c r="B19" s="3"/>
    </row>
    <row r="20" spans="1:2" ht="12.75" customHeight="1">
      <c r="A20" s="11"/>
      <c r="B20" s="3"/>
    </row>
    <row r="21" spans="1:2" ht="12.75" customHeight="1">
      <c r="A21" s="11"/>
      <c r="B21" s="3"/>
    </row>
    <row r="22" spans="1:2" ht="12.75" customHeight="1">
      <c r="A22" s="11"/>
      <c r="B22" s="3"/>
    </row>
    <row r="23" spans="1:2" ht="12.75" customHeight="1">
      <c r="A23" s="11"/>
      <c r="B23" s="3"/>
    </row>
    <row r="24" spans="1:2" ht="12.75" customHeight="1">
      <c r="A24" s="11"/>
      <c r="B24" s="3"/>
    </row>
    <row r="25" spans="1:2" ht="12.75" customHeight="1">
      <c r="A25" s="11"/>
      <c r="B25" s="3"/>
    </row>
    <row r="26" spans="1:2" ht="12.75" customHeight="1">
      <c r="A26" s="11"/>
      <c r="B26" s="3"/>
    </row>
    <row r="27" spans="1:2" ht="12.75" customHeight="1">
      <c r="A27" s="11"/>
      <c r="B27" s="3"/>
    </row>
    <row r="28" spans="1:2" ht="12.75" customHeight="1">
      <c r="A28" s="11"/>
      <c r="B28" s="3"/>
    </row>
    <row r="29" spans="1:2" ht="12.75" customHeight="1">
      <c r="A29" s="11"/>
      <c r="B29" s="3"/>
    </row>
    <row r="30" spans="1:2" ht="12.75" customHeight="1">
      <c r="A30" s="11"/>
      <c r="B30" s="3"/>
    </row>
    <row r="31" spans="1:2" ht="12.75" customHeight="1">
      <c r="A31" s="11"/>
      <c r="B31" s="3"/>
    </row>
    <row r="32" spans="1:2" ht="12.75" customHeight="1">
      <c r="A32" s="11"/>
      <c r="B32" s="3"/>
    </row>
    <row r="33" spans="1:2" ht="12.75" customHeight="1">
      <c r="A33" s="11"/>
      <c r="B33" s="3"/>
    </row>
    <row r="34" spans="1:2" ht="12.75" customHeight="1">
      <c r="A34" s="11"/>
      <c r="B34" s="3"/>
    </row>
    <row r="35" spans="1:2" ht="12.75" customHeight="1">
      <c r="A35" s="11"/>
      <c r="B35" s="3"/>
    </row>
    <row r="36" spans="1:2" ht="12.75" customHeight="1">
      <c r="A36" s="11"/>
      <c r="B36" s="3"/>
    </row>
    <row r="37" spans="1:2" ht="12.75" customHeight="1">
      <c r="A37" s="11"/>
      <c r="B37" s="3"/>
    </row>
    <row r="38" spans="1:2" ht="12.75" customHeight="1">
      <c r="A38" s="11"/>
      <c r="B38" s="3"/>
    </row>
    <row r="39" spans="1:2" ht="12.75" customHeight="1">
      <c r="A39" s="11"/>
      <c r="B39" s="3"/>
    </row>
    <row r="40" spans="1:2" ht="12.75" customHeight="1">
      <c r="A40" s="11"/>
      <c r="B40" s="3"/>
    </row>
    <row r="41" spans="1:2" ht="12.75" customHeight="1">
      <c r="A41" s="11"/>
      <c r="B41" s="3"/>
    </row>
    <row r="42" ht="75" customHeight="1">
      <c r="A42" s="70"/>
      <c r="B42" s="71"/>
    </row>
    <row r="43" ht="75" customHeight="1">
      <c r="A43" s="70"/>
      <c r="B43" s="71"/>
    </row>
    <row r="44" ht="75" customHeight="1">
      <c r="A44" s="70"/>
      <c r="B44" s="71"/>
    </row>
    <row r="45" ht="75" customHeight="1">
      <c r="A45" s="70"/>
      <c r="B45" s="71"/>
    </row>
    <row r="46" ht="75" customHeight="1">
      <c r="A46" s="70"/>
      <c r="B46" s="71"/>
    </row>
    <row r="47" ht="75" customHeight="1">
      <c r="A47" s="70"/>
      <c r="B47" s="71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sqref="A1:G1"/>
    </sheetView>
  </sheetViews>
  <sheetFormatPr defaultRowHeight="15"/>
  <cols>
    <col min="1" max="1" width="18.125" style="2" customWidth="1"/>
    <col min="2" max="2" width="51.5" style="2" customWidth="1"/>
    <col min="3" max="3" width="17.75" style="9" customWidth="1"/>
    <col min="4" max="4" width="16" style="9" customWidth="1"/>
    <col min="5" max="5" width="27" style="2" customWidth="1"/>
    <col min="6" max="6" width="18.375" style="9" customWidth="1"/>
    <col min="7" max="7" width="30.25" style="2" customWidth="1"/>
    <col min="8" max="16384" width="9" style="2"/>
  </cols>
  <sheetData>
    <row r="1" spans="1:7" s="1" customFormat="1" ht="25.5" customHeight="1">
      <c r="A1" s="55" t="s">
        <v>81</v>
      </c>
      <c r="B1" s="56"/>
      <c r="C1" s="56"/>
      <c r="D1" s="56"/>
      <c r="E1" s="56"/>
      <c r="F1" s="56"/>
      <c r="G1" s="56"/>
    </row>
    <row r="2" spans="1:7" ht="15" customHeight="1">
      <c r="A2" s="4" t="s">
        <v>82</v>
      </c>
      <c r="B2" s="4" t="s">
        <v>83</v>
      </c>
      <c r="C2" s="4" t="s">
        <v>84</v>
      </c>
      <c r="D2" s="4" t="s">
        <v>85</v>
      </c>
      <c r="E2" s="4" t="s">
        <v>86</v>
      </c>
      <c r="F2" s="4" t="s">
        <v>87</v>
      </c>
      <c r="G2" s="4" t="s">
        <v>88</v>
      </c>
    </row>
    <row r="3" spans="1:7" ht="45" customHeight="1">
      <c r="A3" s="86" t="inlineStr">
        <is>
          <t>Project_ID</t>
        </is>
      </c>
      <c r="B3" s="74" t="inlineStr">
        <is>
          <t>IRRIGATION_STAGE_2</t>
        </is>
      </c>
      <c r="C3" s="13"/>
      <c r="D3" s="13"/>
      <c r="E3" s="5"/>
      <c r="F3" s="13"/>
      <c r="G3" s="5"/>
    </row>
    <row r="4" spans="1:7" ht="45" customHeight="1">
      <c r="A4" s="86" t="inlineStr">
        <is>
          <t>Project_Name</t>
        </is>
      </c>
      <c r="B4" s="74" t="inlineStr">
        <is>
          <t>Irrigation project — stage 2</t>
        </is>
      </c>
      <c r="C4" s="13"/>
      <c r="D4" s="13"/>
      <c r="E4" s="5"/>
      <c r="F4" s="13"/>
      <c r="G4" s="5"/>
    </row>
    <row r="5" spans="1:7" ht="45" customHeight="1">
      <c r="A5" s="86" t="inlineStr">
        <is>
          <t>Description</t>
        </is>
      </c>
      <c r="B5" s="74" t="inlineStr">
        <is>
          <t>Replacement of open channels by pipes and extension to additional properties/outlets.</t>
        </is>
      </c>
      <c r="C5" s="13"/>
      <c r="D5" s="13"/>
      <c r="E5" s="5"/>
      <c r="F5" s="13"/>
      <c r="G5" s="5"/>
    </row>
    <row r="6" spans="1:7" ht="45" customHeight="1">
      <c r="A6" s="86" t="inlineStr">
        <is>
          <t>Time_Unit</t>
        </is>
      </c>
      <c r="B6" s="74" t="inlineStr">
        <is>
          <t>weeks</t>
        </is>
      </c>
      <c r="C6" s="13"/>
      <c r="D6" s="13"/>
      <c r="E6" s="5"/>
      <c r="F6" s="13"/>
      <c r="G6" s="5"/>
    </row>
    <row r="7" spans="1:7" ht="45" customHeight="1">
      <c r="A7" s="86" t="inlineStr">
        <is>
          <t>Currency</t>
        </is>
      </c>
      <c r="B7" s="74" t="inlineStr">
        <is>
          <t>Not supplied; costs disabled</t>
        </is>
      </c>
      <c r="C7" s="13"/>
      <c r="D7" s="13"/>
      <c r="E7" s="5"/>
      <c r="F7" s="13"/>
      <c r="G7" s="5"/>
    </row>
    <row r="8" spans="1:7" ht="45" customHeight="1">
      <c r="A8" s="86" t="inlineStr">
        <is>
          <t>Simulation_Iterations</t>
        </is>
      </c>
      <c r="B8" s="6">
        <v>5000</v>
      </c>
      <c r="C8" s="13"/>
      <c r="D8" s="13"/>
      <c r="E8" s="5"/>
      <c r="F8" s="13"/>
      <c r="G8" s="5"/>
    </row>
    <row r="9" spans="1:7" ht="45" customHeight="1">
      <c r="A9" s="86" t="inlineStr">
        <is>
          <t>Random_Seed</t>
        </is>
      </c>
      <c r="B9" s="6">
        <v>42</v>
      </c>
      <c r="C9" s="13"/>
      <c r="D9" s="13"/>
      <c r="E9" s="5"/>
      <c r="F9" s="13"/>
      <c r="G9" s="5"/>
    </row>
    <row r="10" spans="1:7" ht="45" customHeight="1">
      <c r="A10" s="86" t="inlineStr">
        <is>
          <t>Target_Duration</t>
        </is>
      </c>
      <c r="B10" s="6"/>
      <c r="C10" s="13"/>
      <c r="D10" s="13"/>
      <c r="E10" s="5"/>
      <c r="F10" s="13"/>
      <c r="G10" s="5"/>
    </row>
    <row r="11" spans="1:7" ht="45" customHeight="1">
      <c r="A11" s="86" t="inlineStr">
        <is>
          <t>Target_Cost</t>
        </is>
      </c>
      <c r="B11" s="6"/>
      <c r="C11" s="13"/>
      <c r="D11" s="13"/>
      <c r="E11" s="5"/>
      <c r="F11" s="13"/>
      <c r="G11" s="5"/>
    </row>
    <row r="12" ht="330" customHeight="1">
      <c r="A12" s="87" t="inlineStr">
        <is>
          <t>Input_Notes</t>
        </is>
      </c>
      <c r="B12" s="88" t="inlineStr">
        <is>
          <t>Schedule-only case: no cost estimates or targets are supplied; zero cost inputs disable costs and are not estimates. User confirmed R8 -&gt; Material Review 2.4, Triangular impacts for R1/R2/R5/R6/R8, and Normal impacts for R3. Four source activity correlations are documented in Case_Summary but are not simulated. The existing Normal zero-floor policy and shared-risk/independent-impact procedure remain in effect.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9"/>
  <sheetViews>
    <sheetView workbookViewId="0">
      <pane xSplit="2" ySplit="2" topLeftCell="C13" activePane="bottomRight" state="frozen"/>
      <selection pane="topRight"/>
      <selection pane="bottomLeft"/>
      <selection pane="bottomRight" activeCell="N8" sqref="N8"/>
    </sheetView>
  </sheetViews>
  <sheetFormatPr defaultRowHeight="15"/>
  <cols>
    <col min="1" max="1" width="11.625" style="9" customWidth="1"/>
    <col min="2" max="2" width="34" style="2" customWidth="1"/>
    <col min="3" max="3" width="22" style="2" customWidth="1"/>
    <col min="4" max="4" width="15.125" style="2" customWidth="1"/>
    <col min="5" max="6" width="14" style="9" customWidth="1"/>
    <col min="7" max="7" width="22.125" style="9" customWidth="1"/>
    <col min="8" max="11" width="14" style="9" customWidth="1"/>
    <col min="12" max="12" width="13" style="9" customWidth="1"/>
    <col min="13" max="13" width="15.75" style="9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16384" width="9" style="2"/>
  </cols>
  <sheetData>
    <row r="1" spans="1:13" s="1" customFormat="1" ht="26.25" customHeight="1">
      <c r="A1" s="53" t="s">
        <v>132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25"/>
      <c r="M1" s="25"/>
    </row>
    <row r="2" spans="1:13" ht="65" customHeight="1">
      <c r="A2" s="15" t="s">
        <v>133</v>
      </c>
      <c r="B2" s="15" t="s">
        <v>134</v>
      </c>
      <c r="C2" s="15" t="s">
        <v>135</v>
      </c>
      <c r="D2" s="15" t="s">
        <v>136</v>
      </c>
      <c r="E2" s="15" t="s">
        <v>137</v>
      </c>
      <c r="F2" s="15" t="s">
        <v>138</v>
      </c>
      <c r="G2" s="15" t="s">
        <v>139</v>
      </c>
      <c r="H2" s="15" t="s">
        <v>140</v>
      </c>
      <c r="I2" s="15" t="s">
        <v>141</v>
      </c>
      <c r="J2" s="15" t="s">
        <v>142</v>
      </c>
      <c r="K2" s="15" t="s">
        <v>143</v>
      </c>
      <c r="L2" s="15" t="s">
        <v>144</v>
      </c>
      <c r="M2" s="15" t="s">
        <v>145</v>
      </c>
      <c r="N2" s="63" t="inlineStr">
        <is>
          <t>Cost_Model</t>
        </is>
      </c>
      <c r="O2" s="64" t="inlineStr">
        <is>
          <t>Cost_Fixed</t>
        </is>
      </c>
      <c r="P2" s="65" t="inlineStr">
        <is>
          <t>Cost_Min</t>
        </is>
      </c>
      <c r="Q2" s="66" t="inlineStr">
        <is>
          <t>Cost_MostLikely</t>
        </is>
      </c>
      <c r="R2" s="67" t="inlineStr">
        <is>
          <t>Cost_Max</t>
        </is>
      </c>
      <c r="S2" s="68" t="inlineStr">
        <is>
          <t>Cost_Mean</t>
        </is>
      </c>
      <c r="T2" s="69" t="inlineStr">
        <is>
          <t>Cost_SD</t>
        </is>
      </c>
    </row>
    <row r="3" spans="1:13" ht="30" customHeight="1">
      <c r="A3" s="73" t="inlineStr">
        <is>
          <t>2.1</t>
        </is>
      </c>
      <c r="B3" s="74" t="inlineStr">
        <is>
          <t>Project Planning</t>
        </is>
      </c>
      <c r="C3" s="75"/>
      <c r="D3" s="74" t="inlineStr">
        <is>
          <t>Normal</t>
        </is>
      </c>
      <c r="E3" s="21"/>
      <c r="F3" s="21"/>
      <c r="G3" s="21"/>
      <c r="H3" s="21"/>
      <c r="I3" s="21">
        <v>2</v>
      </c>
      <c r="J3" s="21">
        <v>0.5</v>
      </c>
      <c r="K3" s="22">
        <f>Case_Assumptions!E3</f>
        <v>0</v>
      </c>
      <c r="L3" s="26">
        <f>Case_Assumptions!F3</f>
        <v>0</v>
      </c>
      <c r="M3" s="76" t="inlineStr">
        <is>
          <t>Fixed only</t>
        </is>
      </c>
      <c r="N3" s="6"/>
      <c r="O3" s="21"/>
      <c r="P3" s="21"/>
      <c r="Q3" s="21"/>
      <c r="R3" s="21"/>
      <c r="S3" s="21"/>
      <c r="T3" s="21"/>
    </row>
    <row r="4" spans="1:13" ht="30" customHeight="1">
      <c r="A4" s="73" t="inlineStr">
        <is>
          <t>2.2</t>
        </is>
      </c>
      <c r="B4" s="74" t="inlineStr">
        <is>
          <t>Pipe Design</t>
        </is>
      </c>
      <c r="C4" s="77" t="inlineStr">
        <is>
          <t>2.1</t>
        </is>
      </c>
      <c r="D4" s="74" t="inlineStr">
        <is>
          <t>Triangular</t>
        </is>
      </c>
      <c r="E4" s="21"/>
      <c r="F4" s="21">
        <v>2</v>
      </c>
      <c r="G4" s="21">
        <v>3</v>
      </c>
      <c r="H4" s="21">
        <v>4</v>
      </c>
      <c r="I4" s="21"/>
      <c r="J4" s="21"/>
      <c r="K4" s="22">
        <f>Case_Assumptions!E4</f>
        <v>0</v>
      </c>
      <c r="L4" s="26">
        <f>Case_Assumptions!F4</f>
        <v>0</v>
      </c>
      <c r="M4" s="76" t="inlineStr">
        <is>
          <t>Fixed only</t>
        </is>
      </c>
      <c r="N4" s="6"/>
      <c r="O4" s="21"/>
      <c r="P4" s="21"/>
      <c r="Q4" s="21"/>
      <c r="R4" s="21"/>
      <c r="S4" s="21"/>
      <c r="T4" s="21"/>
    </row>
    <row r="5" spans="1:13" ht="30" customHeight="1">
      <c r="A5" s="73" t="inlineStr">
        <is>
          <t>2.3</t>
        </is>
      </c>
      <c r="B5" s="74" t="inlineStr">
        <is>
          <t>Material Acquisition</t>
        </is>
      </c>
      <c r="C5" s="77" t="inlineStr">
        <is>
          <t>2.2</t>
        </is>
      </c>
      <c r="D5" s="74" t="inlineStr">
        <is>
          <t>Exponential</t>
        </is>
      </c>
      <c r="E5" s="21"/>
      <c r="F5" s="21"/>
      <c r="G5" s="21"/>
      <c r="H5" s="21"/>
      <c r="I5" s="21">
        <v>1</v>
      </c>
      <c r="J5" s="21"/>
      <c r="K5" s="22">
        <f>Case_Assumptions!E5</f>
        <v>0</v>
      </c>
      <c r="L5" s="26">
        <f>Case_Assumptions!F5</f>
        <v>0</v>
      </c>
      <c r="M5" s="76" t="inlineStr">
        <is>
          <t>Fixed only</t>
        </is>
      </c>
      <c r="N5" s="6"/>
      <c r="O5" s="21"/>
      <c r="P5" s="21"/>
      <c r="Q5" s="21"/>
      <c r="R5" s="21"/>
      <c r="S5" s="21"/>
      <c r="T5" s="21"/>
    </row>
    <row r="6" spans="1:13" ht="30" customHeight="1">
      <c r="A6" s="73" t="inlineStr">
        <is>
          <t>2.4</t>
        </is>
      </c>
      <c r="B6" s="74" t="inlineStr">
        <is>
          <t>Material Review</t>
        </is>
      </c>
      <c r="C6" s="77" t="inlineStr">
        <is>
          <t>2.3</t>
        </is>
      </c>
      <c r="D6" s="74" t="inlineStr">
        <is>
          <t>Triangular</t>
        </is>
      </c>
      <c r="E6" s="21"/>
      <c r="F6" s="21">
        <v>1</v>
      </c>
      <c r="G6" s="21">
        <v>2</v>
      </c>
      <c r="H6" s="21">
        <v>3</v>
      </c>
      <c r="I6" s="21"/>
      <c r="J6" s="21"/>
      <c r="K6" s="22">
        <f>Case_Assumptions!E6</f>
        <v>0</v>
      </c>
      <c r="L6" s="26">
        <f>Case_Assumptions!F6</f>
        <v>0</v>
      </c>
      <c r="M6" s="76" t="inlineStr">
        <is>
          <t>Fixed only</t>
        </is>
      </c>
      <c r="N6" s="6"/>
      <c r="O6" s="21"/>
      <c r="P6" s="21"/>
      <c r="Q6" s="21"/>
      <c r="R6" s="21"/>
      <c r="S6" s="21"/>
      <c r="T6" s="21"/>
    </row>
    <row r="7" spans="1:13" ht="30" customHeight="1">
      <c r="A7" s="73" t="inlineStr">
        <is>
          <t>2.5</t>
        </is>
      </c>
      <c r="B7" s="74" t="inlineStr">
        <is>
          <t>Excavation for Pipes</t>
        </is>
      </c>
      <c r="C7" s="77" t="inlineStr">
        <is>
          <t>2.2</t>
        </is>
      </c>
      <c r="D7" s="74" t="inlineStr">
        <is>
          <t>Normal</t>
        </is>
      </c>
      <c r="E7" s="21"/>
      <c r="F7" s="21"/>
      <c r="G7" s="21"/>
      <c r="H7" s="21"/>
      <c r="I7" s="21">
        <v>4</v>
      </c>
      <c r="J7" s="21">
        <v>1</v>
      </c>
      <c r="K7" s="22">
        <f>Case_Assumptions!E7</f>
        <v>0</v>
      </c>
      <c r="L7" s="26">
        <f>Case_Assumptions!F7</f>
        <v>0</v>
      </c>
      <c r="M7" s="76" t="inlineStr">
        <is>
          <t>Fixed only</t>
        </is>
      </c>
      <c r="N7" s="6"/>
      <c r="O7" s="21"/>
      <c r="P7" s="21"/>
      <c r="Q7" s="21"/>
      <c r="R7" s="21"/>
      <c r="S7" s="21"/>
      <c r="T7" s="21"/>
    </row>
    <row r="8" spans="1:13" ht="30" customHeight="1">
      <c r="A8" s="73" t="inlineStr">
        <is>
          <t>2.6</t>
        </is>
      </c>
      <c r="B8" s="74" t="inlineStr">
        <is>
          <t>Pipe Installation</t>
        </is>
      </c>
      <c r="C8" s="77" t="inlineStr">
        <is>
          <t>2.4,2.5</t>
        </is>
      </c>
      <c r="D8" s="74" t="inlineStr">
        <is>
          <t>Beta-PERT</t>
        </is>
      </c>
      <c r="E8" s="21"/>
      <c r="F8" s="21">
        <v>4</v>
      </c>
      <c r="G8" s="21">
        <v>5</v>
      </c>
      <c r="H8" s="21">
        <v>7</v>
      </c>
      <c r="I8" s="21"/>
      <c r="J8" s="21"/>
      <c r="K8" s="22">
        <f>Case_Assumptions!E8</f>
        <v>0</v>
      </c>
      <c r="L8" s="26">
        <f>Case_Assumptions!F8</f>
        <v>0</v>
      </c>
      <c r="M8" s="76" t="inlineStr">
        <is>
          <t>Fixed only</t>
        </is>
      </c>
      <c r="N8" s="6"/>
      <c r="O8" s="21"/>
      <c r="P8" s="21"/>
      <c r="Q8" s="21"/>
      <c r="R8" s="21"/>
      <c r="S8" s="21"/>
      <c r="T8" s="21"/>
    </row>
    <row r="9" spans="1:13" ht="30" customHeight="1">
      <c r="A9" s="73" t="inlineStr">
        <is>
          <t>2.7</t>
        </is>
      </c>
      <c r="B9" s="74" t="inlineStr">
        <is>
          <t>Pipe Pressure Testing</t>
        </is>
      </c>
      <c r="C9" s="77" t="inlineStr">
        <is>
          <t>2.6</t>
        </is>
      </c>
      <c r="D9" s="74" t="inlineStr">
        <is>
          <t>Normal</t>
        </is>
      </c>
      <c r="E9" s="21"/>
      <c r="F9" s="21"/>
      <c r="G9" s="21"/>
      <c r="H9" s="21"/>
      <c r="I9" s="21">
        <v>2</v>
      </c>
      <c r="J9" s="21">
        <v>0.5</v>
      </c>
      <c r="K9" s="22">
        <f>Case_Assumptions!E9</f>
        <v>0</v>
      </c>
      <c r="L9" s="26">
        <f>Case_Assumptions!F9</f>
        <v>0</v>
      </c>
      <c r="M9" s="76" t="inlineStr">
        <is>
          <t>Fixed only</t>
        </is>
      </c>
      <c r="N9" s="6"/>
      <c r="O9" s="21"/>
      <c r="P9" s="21"/>
      <c r="Q9" s="21"/>
      <c r="R9" s="21"/>
      <c r="S9" s="21"/>
      <c r="T9" s="21"/>
    </row>
    <row r="10" spans="1:13" ht="30" customHeight="1">
      <c r="A10" s="73" t="inlineStr">
        <is>
          <t>2.8</t>
        </is>
      </c>
      <c r="B10" s="74" t="inlineStr">
        <is>
          <t>Quality Inspection</t>
        </is>
      </c>
      <c r="C10" s="77" t="inlineStr">
        <is>
          <t>2.7</t>
        </is>
      </c>
      <c r="D10" s="74" t="inlineStr">
        <is>
          <t>Exponential</t>
        </is>
      </c>
      <c r="E10" s="21"/>
      <c r="F10" s="21"/>
      <c r="G10" s="21"/>
      <c r="H10" s="21"/>
      <c r="I10" s="21">
        <v>1</v>
      </c>
      <c r="J10" s="21"/>
      <c r="K10" s="22">
        <f>Case_Assumptions!E10</f>
        <v>0</v>
      </c>
      <c r="L10" s="26">
        <f>Case_Assumptions!F10</f>
        <v>0</v>
      </c>
      <c r="M10" s="76" t="inlineStr">
        <is>
          <t>Fixed only</t>
        </is>
      </c>
      <c r="N10" s="6"/>
      <c r="O10" s="21"/>
      <c r="P10" s="21"/>
      <c r="Q10" s="21"/>
      <c r="R10" s="21"/>
      <c r="S10" s="21"/>
      <c r="T10" s="21"/>
    </row>
    <row r="11" spans="1:13" ht="30" customHeight="1">
      <c r="A11" s="73" t="inlineStr">
        <is>
          <t>2.9</t>
        </is>
      </c>
      <c r="B11" s="74" t="inlineStr">
        <is>
          <t>Distribution System Connections</t>
        </is>
      </c>
      <c r="C11" s="77" t="inlineStr">
        <is>
          <t>2.8</t>
        </is>
      </c>
      <c r="D11" s="74" t="inlineStr">
        <is>
          <t>Triangular</t>
        </is>
      </c>
      <c r="E11" s="21"/>
      <c r="F11" s="21">
        <v>2</v>
      </c>
      <c r="G11" s="21">
        <v>3</v>
      </c>
      <c r="H11" s="21">
        <v>5</v>
      </c>
      <c r="I11" s="21"/>
      <c r="J11" s="21"/>
      <c r="K11" s="22">
        <f>Case_Assumptions!E11</f>
        <v>0</v>
      </c>
      <c r="L11" s="26">
        <f>Case_Assumptions!F11</f>
        <v>0</v>
      </c>
      <c r="M11" s="76" t="inlineStr">
        <is>
          <t>Fixed only</t>
        </is>
      </c>
      <c r="N11" s="6"/>
      <c r="O11" s="21"/>
      <c r="P11" s="21"/>
      <c r="Q11" s="21"/>
      <c r="R11" s="21"/>
      <c r="S11" s="21"/>
      <c r="T11" s="21"/>
    </row>
    <row r="12" spans="1:13" ht="30" customHeight="1">
      <c r="A12" s="73" t="inlineStr">
        <is>
          <t>2.10</t>
        </is>
      </c>
      <c r="B12" s="74" t="inlineStr">
        <is>
          <t>Operator Training</t>
        </is>
      </c>
      <c r="C12" s="77" t="inlineStr">
        <is>
          <t>2.8</t>
        </is>
      </c>
      <c r="D12" s="74" t="inlineStr">
        <is>
          <t>Normal</t>
        </is>
      </c>
      <c r="E12" s="21"/>
      <c r="F12" s="21"/>
      <c r="G12" s="21"/>
      <c r="H12" s="21"/>
      <c r="I12" s="21">
        <v>1</v>
      </c>
      <c r="J12" s="21">
        <v>0.1</v>
      </c>
      <c r="K12" s="22">
        <f>Case_Assumptions!E12</f>
        <v>0</v>
      </c>
      <c r="L12" s="26">
        <f>Case_Assumptions!F12</f>
        <v>0</v>
      </c>
      <c r="M12" s="76" t="inlineStr">
        <is>
          <t>Fixed only</t>
        </is>
      </c>
      <c r="N12" s="6"/>
      <c r="O12" s="21"/>
      <c r="P12" s="21"/>
      <c r="Q12" s="21"/>
      <c r="R12" s="21"/>
      <c r="S12" s="21"/>
      <c r="T12" s="21"/>
    </row>
    <row r="13" spans="1:13" ht="30" customHeight="1">
      <c r="A13" s="73" t="inlineStr">
        <is>
          <t>2.11</t>
        </is>
      </c>
      <c r="B13" s="74" t="inlineStr">
        <is>
          <t>Initial Monitoring and Maintenance</t>
        </is>
      </c>
      <c r="C13" s="77" t="inlineStr">
        <is>
          <t>2.9,2.10</t>
        </is>
      </c>
      <c r="D13" s="74" t="inlineStr">
        <is>
          <t>Exponential</t>
        </is>
      </c>
      <c r="E13" s="21"/>
      <c r="F13" s="21"/>
      <c r="G13" s="21"/>
      <c r="H13" s="21"/>
      <c r="I13" s="21">
        <v>2</v>
      </c>
      <c r="J13" s="21"/>
      <c r="K13" s="22">
        <f>Case_Assumptions!E13</f>
        <v>0</v>
      </c>
      <c r="L13" s="26">
        <f>Case_Assumptions!F13</f>
        <v>0</v>
      </c>
      <c r="M13" s="76" t="inlineStr">
        <is>
          <t>Fixed only</t>
        </is>
      </c>
      <c r="N13" s="6"/>
      <c r="O13" s="21"/>
      <c r="P13" s="21"/>
      <c r="Q13" s="21"/>
      <c r="R13" s="21"/>
      <c r="S13" s="21"/>
      <c r="T13" s="21"/>
    </row>
    <row r="14" spans="1:13" ht="30" customHeight="1">
      <c r="A14" s="73" t="inlineStr">
        <is>
          <t>2.12</t>
        </is>
      </c>
      <c r="B14" s="74" t="inlineStr">
        <is>
          <t>Project Documentation</t>
        </is>
      </c>
      <c r="C14" s="77" t="inlineStr">
        <is>
          <t>2.11</t>
        </is>
      </c>
      <c r="D14" s="74" t="inlineStr">
        <is>
          <t>Beta-PERT</t>
        </is>
      </c>
      <c r="E14" s="21"/>
      <c r="F14" s="21">
        <v>0.5</v>
      </c>
      <c r="G14" s="21">
        <v>1</v>
      </c>
      <c r="H14" s="21">
        <v>1.5</v>
      </c>
      <c r="I14" s="21"/>
      <c r="J14" s="21"/>
      <c r="K14" s="22">
        <f>Case_Assumptions!E14</f>
        <v>0</v>
      </c>
      <c r="L14" s="26">
        <f>Case_Assumptions!F14</f>
        <v>0</v>
      </c>
      <c r="M14" s="76" t="inlineStr">
        <is>
          <t>Fixed only</t>
        </is>
      </c>
      <c r="N14" s="6"/>
      <c r="O14" s="21"/>
      <c r="P14" s="21"/>
      <c r="Q14" s="21"/>
      <c r="R14" s="21"/>
      <c r="S14" s="21"/>
      <c r="T14" s="21"/>
    </row>
    <row r="15" spans="1:13" ht="30" customHeight="1">
      <c r="A15" s="73" t="inlineStr">
        <is>
          <t>2.13</t>
        </is>
      </c>
      <c r="B15" s="74" t="inlineStr">
        <is>
          <t>System Commissioning</t>
        </is>
      </c>
      <c r="C15" s="77" t="inlineStr">
        <is>
          <t>2.12</t>
        </is>
      </c>
      <c r="D15" s="74" t="inlineStr">
        <is>
          <t>Normal</t>
        </is>
      </c>
      <c r="E15" s="21"/>
      <c r="F15" s="21"/>
      <c r="G15" s="21"/>
      <c r="H15" s="21"/>
      <c r="I15" s="21">
        <v>1</v>
      </c>
      <c r="J15" s="21">
        <v>0.3</v>
      </c>
      <c r="K15" s="22">
        <f>Case_Assumptions!E15</f>
        <v>0</v>
      </c>
      <c r="L15" s="26">
        <f>Case_Assumptions!F15</f>
        <v>0</v>
      </c>
      <c r="M15" s="76" t="inlineStr">
        <is>
          <t>Fixed only</t>
        </is>
      </c>
      <c r="N15" s="6"/>
      <c r="O15" s="21"/>
      <c r="P15" s="21"/>
      <c r="Q15" s="21"/>
      <c r="R15" s="21"/>
      <c r="S15" s="21"/>
      <c r="T15" s="21"/>
    </row>
    <row r="16" spans="1:13" ht="30" customHeight="1">
      <c r="A16" s="73" t="inlineStr">
        <is>
          <t>2.14</t>
        </is>
      </c>
      <c r="B16" s="74" t="inlineStr">
        <is>
          <t>Final Project Report</t>
        </is>
      </c>
      <c r="C16" s="77" t="inlineStr">
        <is>
          <t>2.13</t>
        </is>
      </c>
      <c r="D16" s="74" t="inlineStr">
        <is>
          <t>Exponential</t>
        </is>
      </c>
      <c r="E16" s="21"/>
      <c r="F16" s="21"/>
      <c r="G16" s="21"/>
      <c r="H16" s="21"/>
      <c r="I16" s="21">
        <v>1</v>
      </c>
      <c r="J16" s="21"/>
      <c r="K16" s="22">
        <f>Case_Assumptions!E16</f>
        <v>0</v>
      </c>
      <c r="L16" s="26">
        <f>Case_Assumptions!F16</f>
        <v>0</v>
      </c>
      <c r="M16" s="76" t="inlineStr">
        <is>
          <t>Fixed only</t>
        </is>
      </c>
      <c r="N16" s="6"/>
      <c r="O16" s="21"/>
      <c r="P16" s="21"/>
      <c r="Q16" s="21"/>
      <c r="R16" s="21"/>
      <c r="S16" s="21"/>
      <c r="T16" s="21"/>
    </row>
    <row r="17" spans="1:13" ht="30" customHeight="1">
      <c r="A17" s="73" t="inlineStr">
        <is>
          <t>2.15</t>
        </is>
      </c>
      <c r="B17" s="74" t="inlineStr">
        <is>
          <t>Final Risk Analysis</t>
        </is>
      </c>
      <c r="C17" s="77" t="inlineStr">
        <is>
          <t>2.14</t>
        </is>
      </c>
      <c r="D17" s="74" t="inlineStr">
        <is>
          <t>Normal</t>
        </is>
      </c>
      <c r="E17" s="21"/>
      <c r="F17" s="21"/>
      <c r="G17" s="21"/>
      <c r="H17" s="21"/>
      <c r="I17" s="21">
        <v>1</v>
      </c>
      <c r="J17" s="21">
        <v>0.2</v>
      </c>
      <c r="K17" s="22">
        <f>Case_Assumptions!E17</f>
        <v>0</v>
      </c>
      <c r="L17" s="26">
        <f>Case_Assumptions!F17</f>
        <v>0</v>
      </c>
      <c r="M17" s="76" t="inlineStr">
        <is>
          <t>Fixed only</t>
        </is>
      </c>
      <c r="N17" s="6"/>
      <c r="O17" s="21"/>
      <c r="P17" s="21"/>
      <c r="Q17" s="21"/>
      <c r="R17" s="21"/>
      <c r="S17" s="21"/>
      <c r="T17" s="21"/>
    </row>
    <row r="18" spans="1:13" ht="15" customHeight="1">
      <c r="A18" s="19"/>
      <c r="B18" s="6"/>
      <c r="C18" s="6"/>
      <c r="D18" s="6"/>
      <c r="E18" s="21"/>
      <c r="F18" s="21"/>
      <c r="G18" s="21"/>
      <c r="H18" s="21"/>
      <c r="I18" s="21"/>
      <c r="J18" s="21"/>
      <c r="K18" s="22"/>
      <c r="L18" s="26"/>
      <c r="M18" s="27"/>
      <c r="N18" s="6"/>
      <c r="O18" s="21"/>
      <c r="P18" s="21"/>
      <c r="Q18" s="21"/>
      <c r="R18" s="21"/>
      <c r="S18" s="21"/>
      <c r="T18" s="21"/>
    </row>
    <row r="19" spans="1:13" ht="15" customHeight="1">
      <c r="A19" s="19"/>
      <c r="B19" s="6"/>
      <c r="C19" s="6"/>
      <c r="D19" s="6"/>
      <c r="E19" s="21"/>
      <c r="F19" s="21"/>
      <c r="G19" s="21"/>
      <c r="H19" s="21"/>
      <c r="I19" s="21"/>
      <c r="J19" s="21"/>
      <c r="K19" s="22"/>
      <c r="L19" s="26"/>
      <c r="M19" s="27"/>
      <c r="N19" s="6"/>
      <c r="O19" s="21"/>
      <c r="P19" s="21"/>
      <c r="Q19" s="21"/>
      <c r="R19" s="21"/>
      <c r="S19" s="21"/>
      <c r="T19" s="21"/>
    </row>
    <row r="20" spans="1:13" ht="15" customHeight="1">
      <c r="A20" s="19"/>
      <c r="B20" s="6"/>
      <c r="C20" s="6"/>
      <c r="D20" s="6"/>
      <c r="E20" s="21"/>
      <c r="F20" s="21"/>
      <c r="G20" s="21"/>
      <c r="H20" s="21"/>
      <c r="I20" s="21"/>
      <c r="J20" s="21"/>
      <c r="K20" s="22"/>
      <c r="L20" s="26"/>
      <c r="M20" s="27"/>
      <c r="N20" s="6"/>
      <c r="O20" s="21"/>
      <c r="P20" s="21"/>
      <c r="Q20" s="21"/>
      <c r="R20" s="21"/>
      <c r="S20" s="21"/>
      <c r="T20" s="21"/>
    </row>
    <row r="21" spans="1:13" ht="15" customHeight="1">
      <c r="A21" s="19"/>
      <c r="B21" s="6"/>
      <c r="C21" s="6"/>
      <c r="D21" s="6"/>
      <c r="E21" s="21"/>
      <c r="F21" s="21"/>
      <c r="G21" s="21"/>
      <c r="H21" s="21"/>
      <c r="I21" s="21"/>
      <c r="J21" s="21"/>
      <c r="K21" s="22"/>
      <c r="L21" s="26"/>
      <c r="M21" s="27"/>
      <c r="N21" s="6"/>
      <c r="O21" s="21"/>
      <c r="P21" s="21"/>
      <c r="Q21" s="21"/>
      <c r="R21" s="21"/>
      <c r="S21" s="21"/>
      <c r="T21" s="21"/>
    </row>
    <row r="22" spans="1:13" ht="15" customHeight="1">
      <c r="A22" s="19"/>
      <c r="B22" s="6"/>
      <c r="C22" s="6"/>
      <c r="D22" s="6"/>
      <c r="E22" s="21"/>
      <c r="F22" s="21"/>
      <c r="G22" s="21"/>
      <c r="H22" s="21"/>
      <c r="I22" s="21"/>
      <c r="J22" s="21"/>
      <c r="K22" s="22"/>
      <c r="L22" s="26"/>
      <c r="M22" s="27"/>
      <c r="N22" s="6"/>
      <c r="O22" s="21"/>
      <c r="P22" s="21"/>
      <c r="Q22" s="21"/>
      <c r="R22" s="21"/>
      <c r="S22" s="21"/>
      <c r="T22" s="21"/>
    </row>
    <row r="23" spans="1:13" ht="15" customHeight="1">
      <c r="A23" s="19"/>
      <c r="B23" s="6"/>
      <c r="C23" s="6"/>
      <c r="D23" s="6"/>
      <c r="E23" s="21"/>
      <c r="F23" s="21"/>
      <c r="G23" s="21"/>
      <c r="H23" s="21"/>
      <c r="I23" s="21"/>
      <c r="J23" s="21"/>
      <c r="K23" s="22"/>
      <c r="L23" s="26"/>
      <c r="M23" s="27"/>
      <c r="N23" s="6"/>
      <c r="O23" s="21"/>
      <c r="P23" s="21"/>
      <c r="Q23" s="21"/>
      <c r="R23" s="21"/>
      <c r="S23" s="21"/>
      <c r="T23" s="21"/>
    </row>
    <row r="24" spans="1:13" ht="15" customHeight="1">
      <c r="A24" s="19"/>
      <c r="B24" s="6"/>
      <c r="C24" s="6"/>
      <c r="D24" s="6"/>
      <c r="E24" s="21"/>
      <c r="F24" s="21"/>
      <c r="G24" s="21"/>
      <c r="H24" s="21"/>
      <c r="I24" s="21"/>
      <c r="J24" s="21"/>
      <c r="K24" s="22"/>
      <c r="L24" s="26"/>
      <c r="M24" s="27"/>
      <c r="N24" s="6"/>
      <c r="O24" s="21"/>
      <c r="P24" s="21"/>
      <c r="Q24" s="21"/>
      <c r="R24" s="21"/>
      <c r="S24" s="21"/>
      <c r="T24" s="21"/>
    </row>
    <row r="25" spans="1:13" ht="15" customHeight="1">
      <c r="A25" s="19"/>
      <c r="B25" s="6"/>
      <c r="C25" s="6"/>
      <c r="D25" s="6"/>
      <c r="E25" s="21"/>
      <c r="F25" s="21"/>
      <c r="G25" s="21"/>
      <c r="H25" s="21"/>
      <c r="I25" s="21"/>
      <c r="J25" s="21"/>
      <c r="K25" s="22"/>
      <c r="L25" s="26"/>
      <c r="M25" s="27"/>
      <c r="N25" s="6"/>
      <c r="O25" s="21"/>
      <c r="P25" s="21"/>
      <c r="Q25" s="21"/>
      <c r="R25" s="21"/>
      <c r="S25" s="21"/>
      <c r="T25" s="21"/>
    </row>
    <row r="26" spans="1:13" ht="15" customHeight="1">
      <c r="A26" s="19"/>
      <c r="B26" s="6"/>
      <c r="C26" s="6"/>
      <c r="D26" s="6"/>
      <c r="E26" s="21"/>
      <c r="F26" s="21"/>
      <c r="G26" s="21"/>
      <c r="H26" s="21"/>
      <c r="I26" s="21"/>
      <c r="J26" s="21"/>
      <c r="K26" s="22"/>
      <c r="L26" s="26"/>
      <c r="M26" s="27"/>
      <c r="N26" s="6"/>
      <c r="O26" s="21"/>
      <c r="P26" s="21"/>
      <c r="Q26" s="21"/>
      <c r="R26" s="21"/>
      <c r="S26" s="21"/>
      <c r="T26" s="21"/>
    </row>
    <row r="27" spans="1:13" ht="15" customHeight="1">
      <c r="A27" s="19"/>
      <c r="B27" s="6"/>
      <c r="C27" s="6"/>
      <c r="D27" s="6"/>
      <c r="E27" s="21"/>
      <c r="F27" s="21"/>
      <c r="G27" s="21"/>
      <c r="H27" s="21"/>
      <c r="I27" s="21"/>
      <c r="J27" s="21"/>
      <c r="K27" s="22"/>
      <c r="L27" s="26"/>
      <c r="M27" s="27"/>
      <c r="N27" s="6"/>
      <c r="O27" s="21"/>
      <c r="P27" s="21"/>
      <c r="Q27" s="21"/>
      <c r="R27" s="21"/>
      <c r="S27" s="21"/>
      <c r="T27" s="21"/>
    </row>
    <row r="28" spans="1:13" ht="15" customHeight="1">
      <c r="A28" s="19"/>
      <c r="B28" s="6"/>
      <c r="C28" s="6"/>
      <c r="D28" s="6"/>
      <c r="E28" s="21"/>
      <c r="F28" s="21"/>
      <c r="G28" s="21"/>
      <c r="H28" s="21"/>
      <c r="I28" s="21"/>
      <c r="J28" s="21"/>
      <c r="K28" s="22"/>
      <c r="L28" s="26"/>
      <c r="M28" s="27"/>
      <c r="N28" s="6"/>
      <c r="O28" s="21"/>
      <c r="P28" s="21"/>
      <c r="Q28" s="21"/>
      <c r="R28" s="21"/>
      <c r="S28" s="21"/>
      <c r="T28" s="21"/>
    </row>
    <row r="29" spans="1:13" ht="15" customHeight="1">
      <c r="A29" s="19"/>
      <c r="B29" s="6"/>
      <c r="C29" s="6"/>
      <c r="D29" s="6"/>
      <c r="E29" s="21"/>
      <c r="F29" s="21"/>
      <c r="G29" s="21"/>
      <c r="H29" s="21"/>
      <c r="I29" s="21"/>
      <c r="J29" s="21"/>
      <c r="K29" s="22"/>
      <c r="L29" s="26"/>
      <c r="M29" s="27"/>
      <c r="N29" s="6"/>
      <c r="O29" s="21"/>
      <c r="P29" s="21"/>
      <c r="Q29" s="21"/>
      <c r="R29" s="21"/>
      <c r="S29" s="21"/>
      <c r="T29" s="21"/>
    </row>
    <row r="30" spans="1:13" ht="15" customHeight="1">
      <c r="A30" s="19"/>
      <c r="B30" s="6"/>
      <c r="C30" s="6"/>
      <c r="D30" s="6"/>
      <c r="E30" s="21"/>
      <c r="F30" s="21"/>
      <c r="G30" s="21"/>
      <c r="H30" s="21"/>
      <c r="I30" s="21"/>
      <c r="J30" s="21"/>
      <c r="K30" s="22"/>
      <c r="L30" s="26"/>
      <c r="M30" s="27"/>
      <c r="N30" s="6"/>
      <c r="O30" s="21"/>
      <c r="P30" s="21"/>
      <c r="Q30" s="21"/>
      <c r="R30" s="21"/>
      <c r="S30" s="21"/>
      <c r="T30" s="21"/>
    </row>
    <row r="31" spans="1:13" ht="15" customHeight="1">
      <c r="A31" s="19"/>
      <c r="B31" s="6"/>
      <c r="C31" s="6"/>
      <c r="D31" s="6"/>
      <c r="E31" s="21"/>
      <c r="F31" s="21"/>
      <c r="G31" s="21"/>
      <c r="H31" s="21"/>
      <c r="I31" s="21"/>
      <c r="J31" s="21"/>
      <c r="K31" s="22"/>
      <c r="L31" s="26"/>
      <c r="M31" s="27"/>
      <c r="N31" s="6"/>
      <c r="O31" s="21"/>
      <c r="P31" s="21"/>
      <c r="Q31" s="21"/>
      <c r="R31" s="21"/>
      <c r="S31" s="21"/>
      <c r="T31" s="21"/>
    </row>
    <row r="32" spans="1:13" ht="15" customHeight="1">
      <c r="A32" s="19"/>
      <c r="B32" s="6"/>
      <c r="C32" s="6"/>
      <c r="D32" s="6"/>
      <c r="E32" s="21"/>
      <c r="F32" s="21"/>
      <c r="G32" s="21"/>
      <c r="H32" s="21"/>
      <c r="I32" s="21"/>
      <c r="J32" s="21"/>
      <c r="K32" s="22"/>
      <c r="L32" s="26"/>
      <c r="M32" s="27"/>
      <c r="N32" s="6"/>
      <c r="O32" s="21"/>
      <c r="P32" s="21"/>
      <c r="Q32" s="21"/>
      <c r="R32" s="21"/>
      <c r="S32" s="21"/>
      <c r="T32" s="21"/>
    </row>
    <row r="33" spans="1:13">
      <c r="A33" s="19"/>
      <c r="B33" s="6"/>
      <c r="C33" s="6"/>
      <c r="D33" s="6"/>
      <c r="E33" s="21"/>
      <c r="F33" s="21"/>
      <c r="G33" s="21"/>
      <c r="H33" s="21"/>
      <c r="I33" s="21"/>
      <c r="J33" s="21"/>
      <c r="K33" s="23"/>
      <c r="L33" s="27"/>
      <c r="M33" s="27"/>
      <c r="N33" s="6"/>
      <c r="O33" s="21"/>
      <c r="P33" s="21"/>
      <c r="Q33" s="21"/>
      <c r="R33" s="21"/>
      <c r="S33" s="21"/>
      <c r="T33" s="21"/>
    </row>
    <row r="34" spans="1:13">
      <c r="A34" s="19"/>
      <c r="B34" s="6"/>
      <c r="C34" s="6"/>
      <c r="D34" s="6"/>
      <c r="E34" s="21"/>
      <c r="F34" s="21"/>
      <c r="G34" s="21"/>
      <c r="H34" s="21"/>
      <c r="I34" s="21"/>
      <c r="J34" s="21"/>
      <c r="K34" s="23"/>
      <c r="L34" s="27"/>
      <c r="M34" s="27"/>
      <c r="N34" s="6"/>
      <c r="O34" s="21"/>
      <c r="P34" s="21"/>
      <c r="Q34" s="21"/>
      <c r="R34" s="21"/>
      <c r="S34" s="21"/>
      <c r="T34" s="21"/>
    </row>
    <row r="35" spans="1:13" s="1" customFormat="1">
      <c r="A35" s="20"/>
      <c r="B35" s="18"/>
      <c r="C35" s="18"/>
      <c r="D35" s="18"/>
      <c r="E35" s="20"/>
      <c r="F35" s="20"/>
      <c r="G35" s="20"/>
      <c r="H35" s="20"/>
      <c r="I35" s="20"/>
      <c r="J35" s="20"/>
      <c r="K35" s="24"/>
      <c r="L35" s="27"/>
      <c r="M35" s="27"/>
      <c r="N35" s="18"/>
      <c r="O35" s="20"/>
      <c r="P35" s="20"/>
      <c r="Q35" s="20"/>
      <c r="R35" s="20"/>
      <c r="S35" s="20"/>
      <c r="T35" s="20"/>
    </row>
    <row r="36" spans="1:13" s="1" customFormat="1">
      <c r="A36" s="20"/>
      <c r="B36" s="18"/>
      <c r="C36" s="18"/>
      <c r="D36" s="18"/>
      <c r="E36" s="20"/>
      <c r="F36" s="20"/>
      <c r="G36" s="20"/>
      <c r="H36" s="20"/>
      <c r="I36" s="20"/>
      <c r="J36" s="20"/>
      <c r="K36" s="24"/>
      <c r="L36" s="27"/>
      <c r="M36" s="27"/>
      <c r="N36" s="18"/>
      <c r="O36" s="20"/>
      <c r="P36" s="20"/>
      <c r="Q36" s="20"/>
      <c r="R36" s="20"/>
      <c r="S36" s="20"/>
      <c r="T36" s="20"/>
    </row>
    <row r="37" spans="1:13" s="1" customFormat="1">
      <c r="A37" s="20"/>
      <c r="B37" s="18"/>
      <c r="C37" s="18"/>
      <c r="D37" s="18"/>
      <c r="E37" s="20"/>
      <c r="F37" s="20"/>
      <c r="G37" s="20"/>
      <c r="H37" s="20"/>
      <c r="I37" s="20"/>
      <c r="J37" s="20"/>
      <c r="K37" s="24"/>
      <c r="L37" s="27"/>
      <c r="M37" s="27"/>
      <c r="N37" s="18"/>
      <c r="O37" s="20"/>
      <c r="P37" s="20"/>
      <c r="Q37" s="20"/>
      <c r="R37" s="20"/>
      <c r="S37" s="20"/>
      <c r="T37" s="20"/>
    </row>
    <row r="38" spans="1:13" s="1" customFormat="1">
      <c r="A38" s="20"/>
      <c r="B38" s="18"/>
      <c r="C38" s="18"/>
      <c r="D38" s="18"/>
      <c r="E38" s="20"/>
      <c r="F38" s="20"/>
      <c r="G38" s="20"/>
      <c r="H38" s="20"/>
      <c r="I38" s="20"/>
      <c r="J38" s="20"/>
      <c r="K38" s="24"/>
      <c r="L38" s="27"/>
      <c r="M38" s="27"/>
      <c r="N38" s="18"/>
      <c r="O38" s="20"/>
      <c r="P38" s="20"/>
      <c r="Q38" s="20"/>
      <c r="R38" s="20"/>
      <c r="S38" s="20"/>
      <c r="T38" s="20"/>
    </row>
    <row r="39" spans="1:13" s="1" customFormat="1">
      <c r="A39" s="20"/>
      <c r="B39" s="18"/>
      <c r="C39" s="18"/>
      <c r="D39" s="18"/>
      <c r="E39" s="20"/>
      <c r="F39" s="20"/>
      <c r="G39" s="20"/>
      <c r="H39" s="20"/>
      <c r="I39" s="20"/>
      <c r="J39" s="20"/>
      <c r="K39" s="24"/>
      <c r="L39" s="27"/>
      <c r="M39" s="27"/>
      <c r="N39" s="18"/>
      <c r="O39" s="20"/>
      <c r="P39" s="20"/>
      <c r="Q39" s="20"/>
      <c r="R39" s="20"/>
      <c r="S39" s="20"/>
      <c r="T39" s="20"/>
    </row>
    <row r="40" spans="1:13" s="1" customFormat="1">
      <c r="A40" s="20"/>
      <c r="B40" s="18"/>
      <c r="C40" s="18"/>
      <c r="D40" s="18"/>
      <c r="E40" s="20"/>
      <c r="F40" s="20"/>
      <c r="G40" s="20"/>
      <c r="H40" s="20"/>
      <c r="I40" s="20"/>
      <c r="J40" s="20"/>
      <c r="K40" s="24"/>
      <c r="L40" s="27"/>
      <c r="M40" s="27"/>
      <c r="N40" s="18"/>
      <c r="O40" s="20"/>
      <c r="P40" s="20"/>
      <c r="Q40" s="20"/>
      <c r="R40" s="20"/>
      <c r="S40" s="20"/>
      <c r="T40" s="20"/>
    </row>
    <row r="41" spans="1:13" s="1" customFormat="1">
      <c r="A41" s="20"/>
      <c r="B41" s="18"/>
      <c r="C41" s="18"/>
      <c r="D41" s="18"/>
      <c r="E41" s="20"/>
      <c r="F41" s="20"/>
      <c r="G41" s="20"/>
      <c r="H41" s="20"/>
      <c r="I41" s="20"/>
      <c r="J41" s="20"/>
      <c r="K41" s="24"/>
      <c r="L41" s="27"/>
      <c r="M41" s="27"/>
      <c r="N41" s="18"/>
      <c r="O41" s="20"/>
      <c r="P41" s="20"/>
      <c r="Q41" s="20"/>
      <c r="R41" s="20"/>
      <c r="S41" s="20"/>
      <c r="T41" s="20"/>
    </row>
    <row r="42" spans="1:13" s="1" customFormat="1">
      <c r="A42" s="20"/>
      <c r="B42" s="18"/>
      <c r="C42" s="18"/>
      <c r="D42" s="18"/>
      <c r="E42" s="20"/>
      <c r="F42" s="20"/>
      <c r="G42" s="20"/>
      <c r="H42" s="20"/>
      <c r="I42" s="20"/>
      <c r="J42" s="20"/>
      <c r="K42" s="24"/>
      <c r="L42" s="27"/>
      <c r="M42" s="27"/>
      <c r="N42" s="18"/>
      <c r="O42" s="20"/>
      <c r="P42" s="20"/>
      <c r="Q42" s="20"/>
      <c r="R42" s="20"/>
      <c r="S42" s="20"/>
      <c r="T42" s="20"/>
    </row>
    <row r="43" spans="1:13" s="1" customFormat="1">
      <c r="A43" s="20"/>
      <c r="B43" s="18"/>
      <c r="C43" s="18"/>
      <c r="D43" s="18"/>
      <c r="E43" s="20"/>
      <c r="F43" s="20"/>
      <c r="G43" s="20"/>
      <c r="H43" s="20"/>
      <c r="I43" s="20"/>
      <c r="J43" s="20"/>
      <c r="K43" s="24"/>
      <c r="L43" s="27"/>
      <c r="M43" s="27"/>
      <c r="N43" s="18"/>
      <c r="O43" s="20"/>
      <c r="P43" s="20"/>
      <c r="Q43" s="20"/>
      <c r="R43" s="20"/>
      <c r="S43" s="20"/>
      <c r="T43" s="20"/>
    </row>
    <row r="44" spans="1:13" s="1" customFormat="1">
      <c r="A44" s="20"/>
      <c r="B44" s="18"/>
      <c r="C44" s="18"/>
      <c r="D44" s="18"/>
      <c r="E44" s="20"/>
      <c r="F44" s="20"/>
      <c r="G44" s="20"/>
      <c r="H44" s="20"/>
      <c r="I44" s="20"/>
      <c r="J44" s="20"/>
      <c r="K44" s="24"/>
      <c r="L44" s="27"/>
      <c r="M44" s="27"/>
      <c r="N44" s="18"/>
      <c r="O44" s="20"/>
      <c r="P44" s="20"/>
      <c r="Q44" s="20"/>
      <c r="R44" s="20"/>
      <c r="S44" s="20"/>
      <c r="T44" s="20"/>
    </row>
    <row r="45" spans="1:13" s="1" customFormat="1">
      <c r="A45" s="20"/>
      <c r="B45" s="18"/>
      <c r="C45" s="18"/>
      <c r="D45" s="18"/>
      <c r="E45" s="20"/>
      <c r="F45" s="20"/>
      <c r="G45" s="20"/>
      <c r="H45" s="20"/>
      <c r="I45" s="20"/>
      <c r="J45" s="20"/>
      <c r="K45" s="24"/>
      <c r="L45" s="27"/>
      <c r="M45" s="27"/>
      <c r="N45" s="18"/>
      <c r="O45" s="20"/>
      <c r="P45" s="20"/>
      <c r="Q45" s="20"/>
      <c r="R45" s="20"/>
      <c r="S45" s="20"/>
      <c r="T45" s="20"/>
    </row>
    <row r="46" spans="1:13" s="1" customFormat="1">
      <c r="A46" s="20"/>
      <c r="B46" s="18"/>
      <c r="C46" s="18"/>
      <c r="D46" s="18"/>
      <c r="E46" s="20"/>
      <c r="F46" s="20"/>
      <c r="G46" s="20"/>
      <c r="H46" s="20"/>
      <c r="I46" s="20"/>
      <c r="J46" s="20"/>
      <c r="K46" s="24"/>
      <c r="L46" s="27"/>
      <c r="M46" s="27"/>
      <c r="N46" s="18"/>
      <c r="O46" s="20"/>
      <c r="P46" s="20"/>
      <c r="Q46" s="20"/>
      <c r="R46" s="20"/>
      <c r="S46" s="20"/>
      <c r="T46" s="20"/>
    </row>
    <row r="47" spans="1:13" s="1" customFormat="1">
      <c r="A47" s="20"/>
      <c r="B47" s="18"/>
      <c r="C47" s="18"/>
      <c r="D47" s="18"/>
      <c r="E47" s="20"/>
      <c r="F47" s="20"/>
      <c r="G47" s="20"/>
      <c r="H47" s="20"/>
      <c r="I47" s="20"/>
      <c r="J47" s="20"/>
      <c r="K47" s="24"/>
      <c r="L47" s="27"/>
      <c r="M47" s="27"/>
      <c r="N47" s="18"/>
      <c r="O47" s="20"/>
      <c r="P47" s="20"/>
      <c r="Q47" s="20"/>
      <c r="R47" s="20"/>
      <c r="S47" s="20"/>
      <c r="T47" s="20"/>
    </row>
    <row r="48" spans="1:13" s="1" customFormat="1">
      <c r="A48" s="20"/>
      <c r="B48" s="18"/>
      <c r="C48" s="18"/>
      <c r="D48" s="18"/>
      <c r="E48" s="20"/>
      <c r="F48" s="20"/>
      <c r="G48" s="20"/>
      <c r="H48" s="20"/>
      <c r="I48" s="20"/>
      <c r="J48" s="20"/>
      <c r="K48" s="24"/>
      <c r="L48" s="27"/>
      <c r="M48" s="27"/>
      <c r="N48" s="18"/>
      <c r="O48" s="20"/>
      <c r="P48" s="20"/>
      <c r="Q48" s="20"/>
      <c r="R48" s="20"/>
      <c r="S48" s="20"/>
      <c r="T48" s="20"/>
    </row>
    <row r="49" spans="1:13" s="1" customFormat="1">
      <c r="A49" s="20"/>
      <c r="B49" s="18"/>
      <c r="C49" s="18"/>
      <c r="D49" s="18"/>
      <c r="E49" s="20"/>
      <c r="F49" s="20"/>
      <c r="G49" s="20"/>
      <c r="H49" s="20"/>
      <c r="I49" s="20"/>
      <c r="J49" s="20"/>
      <c r="K49" s="24"/>
      <c r="L49" s="27"/>
      <c r="M49" s="27"/>
      <c r="N49" s="18"/>
      <c r="O49" s="20"/>
      <c r="P49" s="20"/>
      <c r="Q49" s="20"/>
      <c r="R49" s="20"/>
      <c r="S49" s="20"/>
      <c r="T49" s="20"/>
    </row>
    <row r="50" spans="1:13" s="1" customFormat="1">
      <c r="A50" s="20"/>
      <c r="B50" s="18"/>
      <c r="C50" s="18"/>
      <c r="D50" s="18"/>
      <c r="E50" s="20"/>
      <c r="F50" s="20"/>
      <c r="G50" s="20"/>
      <c r="H50" s="20"/>
      <c r="I50" s="20"/>
      <c r="J50" s="20"/>
      <c r="K50" s="24"/>
      <c r="L50" s="27"/>
      <c r="M50" s="27"/>
      <c r="N50" s="18"/>
      <c r="O50" s="20"/>
      <c r="P50" s="20"/>
      <c r="Q50" s="20"/>
      <c r="R50" s="20"/>
      <c r="S50" s="20"/>
      <c r="T50" s="20"/>
    </row>
    <row r="51" spans="1:13" s="1" customFormat="1">
      <c r="A51" s="20"/>
      <c r="B51" s="18"/>
      <c r="C51" s="18"/>
      <c r="D51" s="18"/>
      <c r="E51" s="20"/>
      <c r="F51" s="20"/>
      <c r="G51" s="20"/>
      <c r="H51" s="20"/>
      <c r="I51" s="20"/>
      <c r="J51" s="20"/>
      <c r="K51" s="24"/>
      <c r="L51" s="27"/>
      <c r="M51" s="27"/>
      <c r="N51" s="18"/>
      <c r="O51" s="20"/>
      <c r="P51" s="20"/>
      <c r="Q51" s="20"/>
      <c r="R51" s="20"/>
      <c r="S51" s="20"/>
      <c r="T51" s="20"/>
    </row>
    <row r="52" spans="1:13" s="1" customFormat="1">
      <c r="A52" s="20"/>
      <c r="B52" s="18"/>
      <c r="C52" s="18"/>
      <c r="D52" s="18"/>
      <c r="E52" s="20"/>
      <c r="F52" s="20"/>
      <c r="G52" s="20"/>
      <c r="H52" s="20"/>
      <c r="I52" s="20"/>
      <c r="J52" s="20"/>
      <c r="K52" s="24"/>
      <c r="L52" s="27"/>
      <c r="M52" s="27"/>
      <c r="N52" s="18"/>
      <c r="O52" s="20"/>
      <c r="P52" s="20"/>
      <c r="Q52" s="20"/>
      <c r="R52" s="20"/>
      <c r="S52" s="20"/>
      <c r="T52" s="20"/>
    </row>
    <row r="53" spans="1:13" s="1" customFormat="1">
      <c r="A53" s="20"/>
      <c r="B53" s="18"/>
      <c r="C53" s="18"/>
      <c r="D53" s="18"/>
      <c r="E53" s="20"/>
      <c r="F53" s="20"/>
      <c r="G53" s="20"/>
      <c r="H53" s="20"/>
      <c r="I53" s="20"/>
      <c r="J53" s="20"/>
      <c r="K53" s="24"/>
      <c r="L53" s="27"/>
      <c r="M53" s="27"/>
      <c r="N53" s="18"/>
      <c r="O53" s="20"/>
      <c r="P53" s="20"/>
      <c r="Q53" s="20"/>
      <c r="R53" s="20"/>
      <c r="S53" s="20"/>
      <c r="T53" s="20"/>
    </row>
    <row r="54" spans="1:13" s="1" customFormat="1">
      <c r="A54" s="20"/>
      <c r="B54" s="18"/>
      <c r="C54" s="18"/>
      <c r="D54" s="18"/>
      <c r="E54" s="20"/>
      <c r="F54" s="20"/>
      <c r="G54" s="20"/>
      <c r="H54" s="20"/>
      <c r="I54" s="20"/>
      <c r="J54" s="20"/>
      <c r="K54" s="24"/>
      <c r="L54" s="27"/>
      <c r="M54" s="27"/>
      <c r="N54" s="18"/>
      <c r="O54" s="20"/>
      <c r="P54" s="20"/>
      <c r="Q54" s="20"/>
      <c r="R54" s="20"/>
      <c r="S54" s="20"/>
      <c r="T54" s="20"/>
    </row>
    <row r="55" spans="1:13" s="1" customFormat="1">
      <c r="A55" s="20"/>
      <c r="B55" s="18"/>
      <c r="C55" s="18"/>
      <c r="D55" s="18"/>
      <c r="E55" s="20"/>
      <c r="F55" s="20"/>
      <c r="G55" s="20"/>
      <c r="H55" s="20"/>
      <c r="I55" s="20"/>
      <c r="J55" s="20"/>
      <c r="K55" s="24"/>
      <c r="L55" s="27"/>
      <c r="M55" s="27"/>
      <c r="N55" s="18"/>
      <c r="O55" s="20"/>
      <c r="P55" s="20"/>
      <c r="Q55" s="20"/>
      <c r="R55" s="20"/>
      <c r="S55" s="20"/>
      <c r="T55" s="20"/>
    </row>
    <row r="56" spans="1:13" s="1" customFormat="1">
      <c r="A56" s="20"/>
      <c r="B56" s="18"/>
      <c r="C56" s="18"/>
      <c r="D56" s="18"/>
      <c r="E56" s="20"/>
      <c r="F56" s="20"/>
      <c r="G56" s="20"/>
      <c r="H56" s="20"/>
      <c r="I56" s="20"/>
      <c r="J56" s="20"/>
      <c r="K56" s="24"/>
      <c r="L56" s="27"/>
      <c r="M56" s="27"/>
      <c r="N56" s="18"/>
      <c r="O56" s="20"/>
      <c r="P56" s="20"/>
      <c r="Q56" s="20"/>
      <c r="R56" s="20"/>
      <c r="S56" s="20"/>
      <c r="T56" s="20"/>
    </row>
    <row r="57" spans="1:13" s="1" customFormat="1">
      <c r="A57" s="20"/>
      <c r="B57" s="18"/>
      <c r="C57" s="18"/>
      <c r="D57" s="18"/>
      <c r="E57" s="20"/>
      <c r="F57" s="20"/>
      <c r="G57" s="20"/>
      <c r="H57" s="20"/>
      <c r="I57" s="20"/>
      <c r="J57" s="20"/>
      <c r="K57" s="24"/>
      <c r="L57" s="27"/>
      <c r="M57" s="27"/>
      <c r="N57" s="18"/>
      <c r="O57" s="20"/>
      <c r="P57" s="20"/>
      <c r="Q57" s="20"/>
      <c r="R57" s="20"/>
      <c r="S57" s="20"/>
      <c r="T57" s="20"/>
    </row>
    <row r="58" spans="1:13" s="1" customFormat="1">
      <c r="A58" s="20"/>
      <c r="B58" s="18"/>
      <c r="C58" s="18"/>
      <c r="D58" s="18"/>
      <c r="E58" s="20"/>
      <c r="F58" s="20"/>
      <c r="G58" s="20"/>
      <c r="H58" s="20"/>
      <c r="I58" s="20"/>
      <c r="J58" s="20"/>
      <c r="K58" s="24"/>
      <c r="L58" s="27"/>
      <c r="M58" s="27"/>
      <c r="N58" s="18"/>
      <c r="O58" s="20"/>
      <c r="P58" s="20"/>
      <c r="Q58" s="20"/>
      <c r="R58" s="20"/>
      <c r="S58" s="20"/>
      <c r="T58" s="20"/>
    </row>
    <row r="59" spans="1:13" s="1" customFormat="1">
      <c r="A59" s="20"/>
      <c r="B59" s="18"/>
      <c r="C59" s="18"/>
      <c r="D59" s="18"/>
      <c r="E59" s="20"/>
      <c r="F59" s="20"/>
      <c r="G59" s="20"/>
      <c r="H59" s="20"/>
      <c r="I59" s="20"/>
      <c r="J59" s="20"/>
      <c r="K59" s="24"/>
      <c r="L59" s="27"/>
      <c r="M59" s="27"/>
      <c r="N59" s="18"/>
      <c r="O59" s="20"/>
      <c r="P59" s="20"/>
      <c r="Q59" s="20"/>
      <c r="R59" s="20"/>
      <c r="S59" s="20"/>
      <c r="T59" s="20"/>
    </row>
    <row r="60" spans="1:13" s="1" customFormat="1">
      <c r="A60" s="20"/>
      <c r="B60" s="18"/>
      <c r="C60" s="18"/>
      <c r="D60" s="18"/>
      <c r="E60" s="20"/>
      <c r="F60" s="20"/>
      <c r="G60" s="20"/>
      <c r="H60" s="20"/>
      <c r="I60" s="20"/>
      <c r="J60" s="20"/>
      <c r="K60" s="24"/>
      <c r="L60" s="27"/>
      <c r="M60" s="27"/>
      <c r="N60" s="18"/>
      <c r="O60" s="20"/>
      <c r="P60" s="20"/>
      <c r="Q60" s="20"/>
      <c r="R60" s="20"/>
      <c r="S60" s="20"/>
      <c r="T60" s="20"/>
    </row>
    <row r="61" spans="1:13" s="1" customFormat="1">
      <c r="A61" s="20"/>
      <c r="B61" s="18"/>
      <c r="C61" s="18"/>
      <c r="D61" s="18"/>
      <c r="E61" s="20"/>
      <c r="F61" s="20"/>
      <c r="G61" s="20"/>
      <c r="H61" s="20"/>
      <c r="I61" s="20"/>
      <c r="J61" s="20"/>
      <c r="K61" s="24"/>
      <c r="L61" s="27"/>
      <c r="M61" s="27"/>
      <c r="N61" s="18"/>
      <c r="O61" s="20"/>
      <c r="P61" s="20"/>
      <c r="Q61" s="20"/>
      <c r="R61" s="20"/>
      <c r="S61" s="20"/>
      <c r="T61" s="20"/>
    </row>
    <row r="62" spans="1:13" s="1" customFormat="1">
      <c r="A62" s="20"/>
      <c r="B62" s="18"/>
      <c r="C62" s="18"/>
      <c r="D62" s="18"/>
      <c r="E62" s="20"/>
      <c r="F62" s="20"/>
      <c r="G62" s="20"/>
      <c r="H62" s="20"/>
      <c r="I62" s="20"/>
      <c r="J62" s="20"/>
      <c r="K62" s="24"/>
      <c r="L62" s="27"/>
      <c r="M62" s="27"/>
      <c r="N62" s="18"/>
      <c r="O62" s="20"/>
      <c r="P62" s="20"/>
      <c r="Q62" s="20"/>
      <c r="R62" s="20"/>
      <c r="S62" s="20"/>
      <c r="T62" s="20"/>
    </row>
    <row r="63" spans="1:13" s="1" customFormat="1">
      <c r="A63" s="20"/>
      <c r="B63" s="18"/>
      <c r="C63" s="18"/>
      <c r="D63" s="18"/>
      <c r="E63" s="20"/>
      <c r="F63" s="20"/>
      <c r="G63" s="20"/>
      <c r="H63" s="20"/>
      <c r="I63" s="20"/>
      <c r="J63" s="20"/>
      <c r="K63" s="24"/>
      <c r="L63" s="27"/>
      <c r="M63" s="27"/>
      <c r="N63" s="18"/>
      <c r="O63" s="20"/>
      <c r="P63" s="20"/>
      <c r="Q63" s="20"/>
      <c r="R63" s="20"/>
      <c r="S63" s="20"/>
      <c r="T63" s="20"/>
    </row>
    <row r="64" spans="1:13" s="1" customFormat="1">
      <c r="A64" s="20"/>
      <c r="B64" s="18"/>
      <c r="C64" s="18"/>
      <c r="D64" s="18"/>
      <c r="E64" s="20"/>
      <c r="F64" s="20"/>
      <c r="G64" s="20"/>
      <c r="H64" s="20"/>
      <c r="I64" s="20"/>
      <c r="J64" s="20"/>
      <c r="K64" s="24"/>
      <c r="L64" s="27"/>
      <c r="M64" s="27"/>
      <c r="N64" s="18"/>
      <c r="O64" s="20"/>
      <c r="P64" s="20"/>
      <c r="Q64" s="20"/>
      <c r="R64" s="20"/>
      <c r="S64" s="20"/>
      <c r="T64" s="20"/>
    </row>
    <row r="65" spans="1:13" s="1" customFormat="1">
      <c r="A65" s="20"/>
      <c r="B65" s="18"/>
      <c r="C65" s="18"/>
      <c r="D65" s="18"/>
      <c r="E65" s="20"/>
      <c r="F65" s="20"/>
      <c r="G65" s="20"/>
      <c r="H65" s="20"/>
      <c r="I65" s="20"/>
      <c r="J65" s="20"/>
      <c r="K65" s="24"/>
      <c r="L65" s="27"/>
      <c r="M65" s="27"/>
      <c r="N65" s="18"/>
      <c r="O65" s="20"/>
      <c r="P65" s="20"/>
      <c r="Q65" s="20"/>
      <c r="R65" s="20"/>
      <c r="S65" s="20"/>
      <c r="T65" s="20"/>
    </row>
    <row r="66" spans="1:13" s="1" customFormat="1">
      <c r="A66" s="20"/>
      <c r="B66" s="18"/>
      <c r="C66" s="18"/>
      <c r="D66" s="18"/>
      <c r="E66" s="20"/>
      <c r="F66" s="20"/>
      <c r="G66" s="20"/>
      <c r="H66" s="20"/>
      <c r="I66" s="20"/>
      <c r="J66" s="20"/>
      <c r="K66" s="24"/>
      <c r="L66" s="27"/>
      <c r="M66" s="27"/>
      <c r="N66" s="18"/>
      <c r="O66" s="20"/>
      <c r="P66" s="20"/>
      <c r="Q66" s="20"/>
      <c r="R66" s="20"/>
      <c r="S66" s="20"/>
      <c r="T66" s="20"/>
    </row>
    <row r="67" spans="1:13" s="1" customFormat="1">
      <c r="A67" s="20"/>
      <c r="B67" s="18"/>
      <c r="C67" s="18"/>
      <c r="D67" s="18"/>
      <c r="E67" s="20"/>
      <c r="F67" s="20"/>
      <c r="G67" s="20"/>
      <c r="H67" s="20"/>
      <c r="I67" s="20"/>
      <c r="J67" s="20"/>
      <c r="K67" s="24"/>
      <c r="L67" s="27"/>
      <c r="M67" s="27"/>
      <c r="N67" s="18"/>
      <c r="O67" s="20"/>
      <c r="P67" s="20"/>
      <c r="Q67" s="20"/>
      <c r="R67" s="20"/>
      <c r="S67" s="20"/>
      <c r="T67" s="20"/>
    </row>
    <row r="68" spans="1:13" s="1" customFormat="1">
      <c r="A68" s="20"/>
      <c r="B68" s="18"/>
      <c r="C68" s="18"/>
      <c r="D68" s="18"/>
      <c r="E68" s="20"/>
      <c r="F68" s="20"/>
      <c r="G68" s="20"/>
      <c r="H68" s="20"/>
      <c r="I68" s="20"/>
      <c r="J68" s="20"/>
      <c r="K68" s="24"/>
      <c r="L68" s="27"/>
      <c r="M68" s="27"/>
      <c r="N68" s="18"/>
      <c r="O68" s="20"/>
      <c r="P68" s="20"/>
      <c r="Q68" s="20"/>
      <c r="R68" s="20"/>
      <c r="S68" s="20"/>
      <c r="T68" s="20"/>
    </row>
    <row r="69" spans="1:13" s="1" customFormat="1">
      <c r="A69" s="20"/>
      <c r="B69" s="18"/>
      <c r="C69" s="18"/>
      <c r="D69" s="18"/>
      <c r="E69" s="20"/>
      <c r="F69" s="20"/>
      <c r="G69" s="20"/>
      <c r="H69" s="20"/>
      <c r="I69" s="20"/>
      <c r="J69" s="20"/>
      <c r="K69" s="24"/>
      <c r="L69" s="27"/>
      <c r="M69" s="27"/>
      <c r="N69" s="18"/>
      <c r="O69" s="20"/>
      <c r="P69" s="20"/>
      <c r="Q69" s="20"/>
      <c r="R69" s="20"/>
      <c r="S69" s="20"/>
      <c r="T69" s="20"/>
    </row>
    <row r="70" spans="1:13" s="1" customFormat="1">
      <c r="A70" s="20"/>
      <c r="B70" s="18"/>
      <c r="C70" s="18"/>
      <c r="D70" s="18"/>
      <c r="E70" s="20"/>
      <c r="F70" s="20"/>
      <c r="G70" s="20"/>
      <c r="H70" s="20"/>
      <c r="I70" s="20"/>
      <c r="J70" s="20"/>
      <c r="K70" s="24"/>
      <c r="L70" s="27"/>
      <c r="M70" s="27"/>
      <c r="N70" s="18"/>
      <c r="O70" s="20"/>
      <c r="P70" s="20"/>
      <c r="Q70" s="20"/>
      <c r="R70" s="20"/>
      <c r="S70" s="20"/>
      <c r="T70" s="20"/>
    </row>
    <row r="71" spans="1:13" s="1" customFormat="1">
      <c r="A71" s="20"/>
      <c r="B71" s="18"/>
      <c r="C71" s="18"/>
      <c r="D71" s="18"/>
      <c r="E71" s="20"/>
      <c r="F71" s="20"/>
      <c r="G71" s="20"/>
      <c r="H71" s="20"/>
      <c r="I71" s="20"/>
      <c r="J71" s="20"/>
      <c r="K71" s="24"/>
      <c r="L71" s="27"/>
      <c r="M71" s="27"/>
      <c r="N71" s="18"/>
      <c r="O71" s="20"/>
      <c r="P71" s="20"/>
      <c r="Q71" s="20"/>
      <c r="R71" s="20"/>
      <c r="S71" s="20"/>
      <c r="T71" s="20"/>
    </row>
    <row r="72" spans="1:13" s="1" customFormat="1">
      <c r="A72" s="20"/>
      <c r="B72" s="18"/>
      <c r="C72" s="18"/>
      <c r="D72" s="18"/>
      <c r="E72" s="20"/>
      <c r="F72" s="20"/>
      <c r="G72" s="20"/>
      <c r="H72" s="20"/>
      <c r="I72" s="20"/>
      <c r="J72" s="20"/>
      <c r="K72" s="24"/>
      <c r="L72" s="27"/>
      <c r="M72" s="27"/>
      <c r="N72" s="18"/>
      <c r="O72" s="20"/>
      <c r="P72" s="20"/>
      <c r="Q72" s="20"/>
      <c r="R72" s="20"/>
      <c r="S72" s="20"/>
      <c r="T72" s="20"/>
    </row>
    <row r="73" spans="1:13" s="1" customFormat="1">
      <c r="A73" s="20"/>
      <c r="B73" s="18"/>
      <c r="C73" s="18"/>
      <c r="D73" s="18"/>
      <c r="E73" s="20"/>
      <c r="F73" s="20"/>
      <c r="G73" s="20"/>
      <c r="H73" s="20"/>
      <c r="I73" s="20"/>
      <c r="J73" s="20"/>
      <c r="K73" s="24"/>
      <c r="L73" s="27"/>
      <c r="M73" s="27"/>
      <c r="N73" s="18"/>
      <c r="O73" s="20"/>
      <c r="P73" s="20"/>
      <c r="Q73" s="20"/>
      <c r="R73" s="20"/>
      <c r="S73" s="20"/>
      <c r="T73" s="20"/>
    </row>
    <row r="74" spans="1:13" s="1" customFormat="1">
      <c r="A74" s="20"/>
      <c r="B74" s="18"/>
      <c r="C74" s="18"/>
      <c r="D74" s="18"/>
      <c r="E74" s="20"/>
      <c r="F74" s="20"/>
      <c r="G74" s="20"/>
      <c r="H74" s="20"/>
      <c r="I74" s="20"/>
      <c r="J74" s="20"/>
      <c r="K74" s="24"/>
      <c r="L74" s="27"/>
      <c r="M74" s="27"/>
      <c r="N74" s="18"/>
      <c r="O74" s="20"/>
      <c r="P74" s="20"/>
      <c r="Q74" s="20"/>
      <c r="R74" s="20"/>
      <c r="S74" s="20"/>
      <c r="T74" s="20"/>
    </row>
    <row r="75" spans="1:13" s="1" customFormat="1">
      <c r="A75" s="20"/>
      <c r="B75" s="18"/>
      <c r="C75" s="18"/>
      <c r="D75" s="18"/>
      <c r="E75" s="20"/>
      <c r="F75" s="20"/>
      <c r="G75" s="20"/>
      <c r="H75" s="20"/>
      <c r="I75" s="20"/>
      <c r="J75" s="20"/>
      <c r="K75" s="24"/>
      <c r="L75" s="27"/>
      <c r="M75" s="27"/>
      <c r="N75" s="18"/>
      <c r="O75" s="20"/>
      <c r="P75" s="20"/>
      <c r="Q75" s="20"/>
      <c r="R75" s="20"/>
      <c r="S75" s="20"/>
      <c r="T75" s="20"/>
    </row>
    <row r="76" spans="1:13" s="1" customFormat="1">
      <c r="A76" s="20"/>
      <c r="B76" s="18"/>
      <c r="C76" s="18"/>
      <c r="D76" s="18"/>
      <c r="E76" s="20"/>
      <c r="F76" s="20"/>
      <c r="G76" s="20"/>
      <c r="H76" s="20"/>
      <c r="I76" s="20"/>
      <c r="J76" s="20"/>
      <c r="K76" s="24"/>
      <c r="L76" s="27"/>
      <c r="M76" s="27"/>
      <c r="N76" s="18"/>
      <c r="O76" s="20"/>
      <c r="P76" s="20"/>
      <c r="Q76" s="20"/>
      <c r="R76" s="20"/>
      <c r="S76" s="20"/>
      <c r="T76" s="20"/>
    </row>
    <row r="77" spans="1:13" s="1" customFormat="1">
      <c r="A77" s="20"/>
      <c r="B77" s="18"/>
      <c r="C77" s="18"/>
      <c r="D77" s="18"/>
      <c r="E77" s="20"/>
      <c r="F77" s="20"/>
      <c r="G77" s="20"/>
      <c r="H77" s="20"/>
      <c r="I77" s="20"/>
      <c r="J77" s="20"/>
      <c r="K77" s="24"/>
      <c r="L77" s="27"/>
      <c r="M77" s="27"/>
      <c r="N77" s="18"/>
      <c r="O77" s="20"/>
      <c r="P77" s="20"/>
      <c r="Q77" s="20"/>
      <c r="R77" s="20"/>
      <c r="S77" s="20"/>
      <c r="T77" s="20"/>
    </row>
    <row r="78" spans="1:13" s="1" customFormat="1">
      <c r="A78" s="20"/>
      <c r="B78" s="18"/>
      <c r="C78" s="18"/>
      <c r="D78" s="18"/>
      <c r="E78" s="20"/>
      <c r="F78" s="20"/>
      <c r="G78" s="20"/>
      <c r="H78" s="20"/>
      <c r="I78" s="20"/>
      <c r="J78" s="20"/>
      <c r="K78" s="24"/>
      <c r="L78" s="27"/>
      <c r="M78" s="27"/>
      <c r="N78" s="18"/>
      <c r="O78" s="20"/>
      <c r="P78" s="20"/>
      <c r="Q78" s="20"/>
      <c r="R78" s="20"/>
      <c r="S78" s="20"/>
      <c r="T78" s="20"/>
    </row>
    <row r="79" spans="1:13" s="1" customFormat="1">
      <c r="A79" s="20"/>
      <c r="B79" s="18"/>
      <c r="C79" s="18"/>
      <c r="D79" s="18"/>
      <c r="E79" s="20"/>
      <c r="F79" s="20"/>
      <c r="G79" s="20"/>
      <c r="H79" s="20"/>
      <c r="I79" s="20"/>
      <c r="J79" s="20"/>
      <c r="K79" s="24"/>
      <c r="L79" s="27"/>
      <c r="M79" s="27"/>
      <c r="N79" s="18"/>
      <c r="O79" s="20"/>
      <c r="P79" s="20"/>
      <c r="Q79" s="20"/>
      <c r="R79" s="20"/>
      <c r="S79" s="20"/>
      <c r="T79" s="20"/>
    </row>
    <row r="80" spans="1:13" s="1" customFormat="1">
      <c r="A80" s="20"/>
      <c r="B80" s="18"/>
      <c r="C80" s="18"/>
      <c r="D80" s="18"/>
      <c r="E80" s="20"/>
      <c r="F80" s="20"/>
      <c r="G80" s="20"/>
      <c r="H80" s="20"/>
      <c r="I80" s="20"/>
      <c r="J80" s="20"/>
      <c r="K80" s="24"/>
      <c r="L80" s="27"/>
      <c r="M80" s="27"/>
      <c r="N80" s="18"/>
      <c r="O80" s="20"/>
      <c r="P80" s="20"/>
      <c r="Q80" s="20"/>
      <c r="R80" s="20"/>
      <c r="S80" s="20"/>
      <c r="T80" s="20"/>
    </row>
    <row r="81" spans="1:13" s="1" customFormat="1">
      <c r="A81" s="20"/>
      <c r="B81" s="18"/>
      <c r="C81" s="18"/>
      <c r="D81" s="18"/>
      <c r="E81" s="20"/>
      <c r="F81" s="20"/>
      <c r="G81" s="20"/>
      <c r="H81" s="20"/>
      <c r="I81" s="20"/>
      <c r="J81" s="20"/>
      <c r="K81" s="24"/>
      <c r="L81" s="27"/>
      <c r="M81" s="27"/>
      <c r="N81" s="18"/>
      <c r="O81" s="20"/>
      <c r="P81" s="20"/>
      <c r="Q81" s="20"/>
      <c r="R81" s="20"/>
      <c r="S81" s="20"/>
      <c r="T81" s="20"/>
    </row>
    <row r="82" spans="1:13" s="1" customFormat="1">
      <c r="A82" s="20"/>
      <c r="B82" s="18"/>
      <c r="C82" s="18"/>
      <c r="D82" s="18"/>
      <c r="E82" s="20"/>
      <c r="F82" s="20"/>
      <c r="G82" s="20"/>
      <c r="H82" s="20"/>
      <c r="I82" s="20"/>
      <c r="J82" s="20"/>
      <c r="K82" s="24"/>
      <c r="L82" s="27"/>
      <c r="M82" s="27"/>
      <c r="N82" s="18"/>
      <c r="O82" s="20"/>
      <c r="P82" s="20"/>
      <c r="Q82" s="20"/>
      <c r="R82" s="20"/>
      <c r="S82" s="20"/>
      <c r="T82" s="20"/>
    </row>
    <row r="83" spans="1:13" s="1" customFormat="1">
      <c r="A83" s="20"/>
      <c r="B83" s="18"/>
      <c r="C83" s="18"/>
      <c r="D83" s="18"/>
      <c r="E83" s="20"/>
      <c r="F83" s="20"/>
      <c r="G83" s="20"/>
      <c r="H83" s="20"/>
      <c r="I83" s="20"/>
      <c r="J83" s="20"/>
      <c r="K83" s="24"/>
      <c r="L83" s="27"/>
      <c r="M83" s="27"/>
      <c r="N83" s="18"/>
      <c r="O83" s="20"/>
      <c r="P83" s="20"/>
      <c r="Q83" s="20"/>
      <c r="R83" s="20"/>
      <c r="S83" s="20"/>
      <c r="T83" s="20"/>
    </row>
    <row r="84" spans="1:13" s="1" customFormat="1">
      <c r="A84" s="20"/>
      <c r="B84" s="18"/>
      <c r="C84" s="18"/>
      <c r="D84" s="18"/>
      <c r="E84" s="20"/>
      <c r="F84" s="20"/>
      <c r="G84" s="20"/>
      <c r="H84" s="20"/>
      <c r="I84" s="20"/>
      <c r="J84" s="20"/>
      <c r="K84" s="24"/>
      <c r="L84" s="27"/>
      <c r="M84" s="27"/>
      <c r="N84" s="18"/>
      <c r="O84" s="20"/>
      <c r="P84" s="20"/>
      <c r="Q84" s="20"/>
      <c r="R84" s="20"/>
      <c r="S84" s="20"/>
      <c r="T84" s="20"/>
    </row>
    <row r="85" spans="1:13" s="1" customFormat="1">
      <c r="A85" s="20"/>
      <c r="B85" s="18"/>
      <c r="C85" s="18"/>
      <c r="D85" s="18"/>
      <c r="E85" s="20"/>
      <c r="F85" s="20"/>
      <c r="G85" s="20"/>
      <c r="H85" s="20"/>
      <c r="I85" s="20"/>
      <c r="J85" s="20"/>
      <c r="K85" s="24"/>
      <c r="L85" s="27"/>
      <c r="M85" s="27"/>
      <c r="N85" s="18"/>
      <c r="O85" s="20"/>
      <c r="P85" s="20"/>
      <c r="Q85" s="20"/>
      <c r="R85" s="20"/>
      <c r="S85" s="20"/>
      <c r="T85" s="20"/>
    </row>
    <row r="86" spans="1:13" s="1" customFormat="1">
      <c r="A86" s="20"/>
      <c r="B86" s="18"/>
      <c r="C86" s="18"/>
      <c r="D86" s="18"/>
      <c r="E86" s="20"/>
      <c r="F86" s="20"/>
      <c r="G86" s="20"/>
      <c r="H86" s="20"/>
      <c r="I86" s="20"/>
      <c r="J86" s="20"/>
      <c r="K86" s="24"/>
      <c r="L86" s="27"/>
      <c r="M86" s="27"/>
      <c r="N86" s="18"/>
      <c r="O86" s="20"/>
      <c r="P86" s="20"/>
      <c r="Q86" s="20"/>
      <c r="R86" s="20"/>
      <c r="S86" s="20"/>
      <c r="T86" s="20"/>
    </row>
    <row r="87" spans="1:13" s="1" customFormat="1">
      <c r="A87" s="20"/>
      <c r="B87" s="18"/>
      <c r="C87" s="18"/>
      <c r="D87" s="18"/>
      <c r="E87" s="20"/>
      <c r="F87" s="20"/>
      <c r="G87" s="20"/>
      <c r="H87" s="20"/>
      <c r="I87" s="20"/>
      <c r="J87" s="20"/>
      <c r="K87" s="24"/>
      <c r="L87" s="27"/>
      <c r="M87" s="27"/>
      <c r="N87" s="18"/>
      <c r="O87" s="20"/>
      <c r="P87" s="20"/>
      <c r="Q87" s="20"/>
      <c r="R87" s="20"/>
      <c r="S87" s="20"/>
      <c r="T87" s="20"/>
    </row>
    <row r="88" spans="1:13" s="1" customFormat="1">
      <c r="A88" s="20"/>
      <c r="B88" s="18"/>
      <c r="C88" s="18"/>
      <c r="D88" s="18"/>
      <c r="E88" s="20"/>
      <c r="F88" s="20"/>
      <c r="G88" s="20"/>
      <c r="H88" s="20"/>
      <c r="I88" s="20"/>
      <c r="J88" s="20"/>
      <c r="K88" s="24"/>
      <c r="L88" s="27"/>
      <c r="M88" s="27"/>
      <c r="N88" s="18"/>
      <c r="O88" s="20"/>
      <c r="P88" s="20"/>
      <c r="Q88" s="20"/>
      <c r="R88" s="20"/>
      <c r="S88" s="20"/>
      <c r="T88" s="20"/>
    </row>
    <row r="89" spans="1:13" s="1" customFormat="1">
      <c r="A89" s="20"/>
      <c r="B89" s="18"/>
      <c r="C89" s="18"/>
      <c r="D89" s="18"/>
      <c r="E89" s="20"/>
      <c r="F89" s="20"/>
      <c r="G89" s="20"/>
      <c r="H89" s="20"/>
      <c r="I89" s="20"/>
      <c r="J89" s="20"/>
      <c r="K89" s="24"/>
      <c r="L89" s="27"/>
      <c r="M89" s="27"/>
      <c r="N89" s="18"/>
      <c r="O89" s="20"/>
      <c r="P89" s="20"/>
      <c r="Q89" s="20"/>
      <c r="R89" s="20"/>
      <c r="S89" s="20"/>
      <c r="T89" s="20"/>
    </row>
    <row r="90" spans="1:13" s="1" customFormat="1">
      <c r="A90" s="20"/>
      <c r="B90" s="18"/>
      <c r="C90" s="18"/>
      <c r="D90" s="18"/>
      <c r="E90" s="20"/>
      <c r="F90" s="20"/>
      <c r="G90" s="20"/>
      <c r="H90" s="20"/>
      <c r="I90" s="20"/>
      <c r="J90" s="20"/>
      <c r="K90" s="24"/>
      <c r="L90" s="27"/>
      <c r="M90" s="27"/>
      <c r="N90" s="18"/>
      <c r="O90" s="20"/>
      <c r="P90" s="20"/>
      <c r="Q90" s="20"/>
      <c r="R90" s="20"/>
      <c r="S90" s="20"/>
      <c r="T90" s="20"/>
    </row>
    <row r="91" spans="1:13" s="1" customFormat="1">
      <c r="A91" s="20"/>
      <c r="B91" s="18"/>
      <c r="C91" s="18"/>
      <c r="D91" s="18"/>
      <c r="E91" s="20"/>
      <c r="F91" s="20"/>
      <c r="G91" s="20"/>
      <c r="H91" s="20"/>
      <c r="I91" s="20"/>
      <c r="J91" s="20"/>
      <c r="K91" s="24"/>
      <c r="L91" s="27"/>
      <c r="M91" s="27"/>
      <c r="N91" s="18"/>
      <c r="O91" s="20"/>
      <c r="P91" s="20"/>
      <c r="Q91" s="20"/>
      <c r="R91" s="20"/>
      <c r="S91" s="20"/>
      <c r="T91" s="20"/>
    </row>
    <row r="92" spans="1:13" s="1" customFormat="1">
      <c r="A92" s="20"/>
      <c r="B92" s="18"/>
      <c r="C92" s="18"/>
      <c r="D92" s="18"/>
      <c r="E92" s="20"/>
      <c r="F92" s="20"/>
      <c r="G92" s="20"/>
      <c r="H92" s="20"/>
      <c r="I92" s="20"/>
      <c r="J92" s="20"/>
      <c r="K92" s="24"/>
      <c r="L92" s="27"/>
      <c r="M92" s="27"/>
      <c r="N92" s="18"/>
      <c r="O92" s="20"/>
      <c r="P92" s="20"/>
      <c r="Q92" s="20"/>
      <c r="R92" s="20"/>
      <c r="S92" s="20"/>
      <c r="T92" s="20"/>
    </row>
    <row r="93" spans="1:13" s="1" customFormat="1">
      <c r="A93" s="20"/>
      <c r="B93" s="18"/>
      <c r="C93" s="18"/>
      <c r="D93" s="18"/>
      <c r="E93" s="20"/>
      <c r="F93" s="20"/>
      <c r="G93" s="20"/>
      <c r="H93" s="20"/>
      <c r="I93" s="20"/>
      <c r="J93" s="20"/>
      <c r="K93" s="24"/>
      <c r="L93" s="27"/>
      <c r="M93" s="27"/>
      <c r="N93" s="18"/>
      <c r="O93" s="20"/>
      <c r="P93" s="20"/>
      <c r="Q93" s="20"/>
      <c r="R93" s="20"/>
      <c r="S93" s="20"/>
      <c r="T93" s="20"/>
    </row>
    <row r="94" spans="1:13" s="1" customFormat="1">
      <c r="A94" s="20"/>
      <c r="B94" s="18"/>
      <c r="C94" s="18"/>
      <c r="D94" s="18"/>
      <c r="E94" s="20"/>
      <c r="F94" s="20"/>
      <c r="G94" s="20"/>
      <c r="H94" s="20"/>
      <c r="I94" s="20"/>
      <c r="J94" s="20"/>
      <c r="K94" s="24"/>
      <c r="L94" s="27"/>
      <c r="M94" s="27"/>
      <c r="N94" s="18"/>
      <c r="O94" s="20"/>
      <c r="P94" s="20"/>
      <c r="Q94" s="20"/>
      <c r="R94" s="20"/>
      <c r="S94" s="20"/>
      <c r="T94" s="20"/>
    </row>
    <row r="95" spans="1:13" s="1" customFormat="1">
      <c r="A95" s="20"/>
      <c r="B95" s="18"/>
      <c r="C95" s="18"/>
      <c r="D95" s="18"/>
      <c r="E95" s="20"/>
      <c r="F95" s="20"/>
      <c r="G95" s="20"/>
      <c r="H95" s="20"/>
      <c r="I95" s="20"/>
      <c r="J95" s="20"/>
      <c r="K95" s="24"/>
      <c r="L95" s="27"/>
      <c r="M95" s="27"/>
      <c r="N95" s="18"/>
      <c r="O95" s="20"/>
      <c r="P95" s="20"/>
      <c r="Q95" s="20"/>
      <c r="R95" s="20"/>
      <c r="S95" s="20"/>
      <c r="T95" s="20"/>
    </row>
    <row r="96" spans="1:13" s="1" customFormat="1">
      <c r="A96" s="20"/>
      <c r="B96" s="18"/>
      <c r="C96" s="18"/>
      <c r="D96" s="18"/>
      <c r="E96" s="20"/>
      <c r="F96" s="20"/>
      <c r="G96" s="20"/>
      <c r="H96" s="20"/>
      <c r="I96" s="20"/>
      <c r="J96" s="20"/>
      <c r="K96" s="24"/>
      <c r="L96" s="27"/>
      <c r="M96" s="27"/>
      <c r="N96" s="18"/>
      <c r="O96" s="20"/>
      <c r="P96" s="20"/>
      <c r="Q96" s="20"/>
      <c r="R96" s="20"/>
      <c r="S96" s="20"/>
      <c r="T96" s="20"/>
    </row>
    <row r="97" spans="1:13" s="1" customFormat="1">
      <c r="A97" s="20"/>
      <c r="B97" s="18"/>
      <c r="C97" s="18"/>
      <c r="D97" s="18"/>
      <c r="E97" s="20"/>
      <c r="F97" s="20"/>
      <c r="G97" s="20"/>
      <c r="H97" s="20"/>
      <c r="I97" s="20"/>
      <c r="J97" s="20"/>
      <c r="K97" s="24"/>
      <c r="L97" s="27"/>
      <c r="M97" s="27"/>
      <c r="N97" s="18"/>
      <c r="O97" s="20"/>
      <c r="P97" s="20"/>
      <c r="Q97" s="20"/>
      <c r="R97" s="20"/>
      <c r="S97" s="20"/>
      <c r="T97" s="20"/>
    </row>
    <row r="98" spans="1:13" s="1" customFormat="1">
      <c r="A98" s="20"/>
      <c r="B98" s="18"/>
      <c r="C98" s="18"/>
      <c r="D98" s="18"/>
      <c r="E98" s="20"/>
      <c r="F98" s="20"/>
      <c r="G98" s="20"/>
      <c r="H98" s="20"/>
      <c r="I98" s="20"/>
      <c r="J98" s="20"/>
      <c r="K98" s="24"/>
      <c r="L98" s="27"/>
      <c r="M98" s="27"/>
      <c r="N98" s="18"/>
      <c r="O98" s="20"/>
      <c r="P98" s="20"/>
      <c r="Q98" s="20"/>
      <c r="R98" s="20"/>
      <c r="S98" s="20"/>
      <c r="T98" s="20"/>
    </row>
    <row r="99" spans="1:13" s="1" customFormat="1">
      <c r="A99" s="20"/>
      <c r="B99" s="18"/>
      <c r="C99" s="18"/>
      <c r="D99" s="18"/>
      <c r="E99" s="20"/>
      <c r="F99" s="20"/>
      <c r="G99" s="20"/>
      <c r="H99" s="20"/>
      <c r="I99" s="20"/>
      <c r="J99" s="20"/>
      <c r="K99" s="24"/>
      <c r="L99" s="27"/>
      <c r="M99" s="27"/>
      <c r="N99" s="18"/>
      <c r="O99" s="20"/>
      <c r="P99" s="20"/>
      <c r="Q99" s="20"/>
      <c r="R99" s="20"/>
      <c r="S99" s="20"/>
      <c r="T99" s="20"/>
    </row>
  </sheetData>
  <mergeCells count="1">
    <mergeCell ref="A1:K1"/>
  </mergeCells>
  <conditionalFormatting sqref="E3:E99">
    <cfRule type="expression" dxfId="8" priority="10">
      <formula>$D3="Fixed"</formula>
    </cfRule>
  </conditionalFormatting>
  <conditionalFormatting sqref="F3:F99">
    <cfRule type="expression" dxfId="7" priority="11">
      <formula>OR($D3="Triangular",$D3="Beta-PERT",$D3="Uniform")</formula>
    </cfRule>
  </conditionalFormatting>
  <conditionalFormatting sqref="G3:G99">
    <cfRule type="expression" dxfId="7" priority="12">
      <formula>OR($D3="Triangular",$D3="Beta-PERT")</formula>
    </cfRule>
  </conditionalFormatting>
  <conditionalFormatting sqref="H3:H99">
    <cfRule type="expression" dxfId="7" priority="13">
      <formula>OR($D3="Triangular",$D3="Beta-PERT",$D3="Uniform")</formula>
    </cfRule>
  </conditionalFormatting>
  <conditionalFormatting sqref="I3:I99">
    <cfRule type="expression" dxfId="6" priority="14">
      <formula>OR($D3="Normal",$D3="Exponential",$D3="Lognormal",$D3="Gamma")</formula>
    </cfRule>
  </conditionalFormatting>
  <conditionalFormatting sqref="J3:J99">
    <cfRule type="expression" dxfId="6" priority="15">
      <formula>OR($D3="Normal",$D3="Lognormal",$D3="Gamma")</formula>
    </cfRule>
  </conditionalFormatting>
  <conditionalFormatting sqref="O3:O99">
    <cfRule type="expression" dxfId="8" priority="16">
      <formula>$N3="Fixed"</formula>
    </cfRule>
  </conditionalFormatting>
  <conditionalFormatting sqref="P3:P99">
    <cfRule type="expression" dxfId="7" priority="17">
      <formula>OR($N3="Triangular",$N3="Beta-PERT",$N3="Uniform")</formula>
    </cfRule>
  </conditionalFormatting>
  <conditionalFormatting sqref="Q3:Q99">
    <cfRule type="expression" dxfId="7" priority="18">
      <formula>OR($N3="Triangular",$N3="Beta-PERT")</formula>
    </cfRule>
  </conditionalFormatting>
  <conditionalFormatting sqref="R3:R99">
    <cfRule type="expression" dxfId="7" priority="19">
      <formula>OR($N3="Triangular",$N3="Beta-PERT",$N3="Uniform")</formula>
    </cfRule>
  </conditionalFormatting>
  <conditionalFormatting sqref="S3:S99">
    <cfRule type="expression" dxfId="6" priority="20">
      <formula>OR($N3="Normal",$N3="Exponential",$N3="Lognormal",$N3="Gamma")</formula>
    </cfRule>
  </conditionalFormatting>
  <conditionalFormatting sqref="T3:T99">
    <cfRule type="expression" dxfId="6" priority="21">
      <formula>OR($N3="Normal",$N3="Lognormal",$N3="Gamma")</formula>
    </cfRule>
  </conditionalFormatting>
  <dataValidations count="4">
    <dataValidation type="list" sqref="D3:D99" xr:uid="{00000000-0002-0000-0200-000000000000}">
      <formula1>"Fixed,Triangular,Beta-PERT,Uniform,Normal,Exponential,Lognormal,Gamma"</formula1>
    </dataValidation>
    <dataValidation type="decimal" allowBlank="1" showErrorMessage="1" errorTitle="Invalid input" error="Enter a value from the documented options or range." sqref="K3:L99" xr:uid="{00000000-0002-0000-0200-000001000000}">
      <formula1>0</formula1>
      <formula2>1000000000000000</formula2>
    </dataValidation>
    <dataValidation type="list" showErrorMessage="1" error="Choose Fixed only or Fixed + time." sqref="M3:M99" xr:uid="{00000000-0002-0000-0200-000002000000}">
      <formula1>"Fixed only,Fixed + time"</formula1>
    </dataValidation>
    <dataValidation type="list" allowBlank="1" sqref="N3:N99">
      <formula1>"Fixed,Triangular,Beta-PERT,Uniform,Normal,Exponential,Lognormal,Gamma"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"/>
  <sheetViews>
    <sheetView workbookViewId="0">
      <pane xSplit="2" ySplit="2" topLeftCell="S3" activePane="bottomRight" state="frozen"/>
      <selection pane="topRight"/>
      <selection pane="bottomLeft"/>
      <selection pane="bottomRight" activeCell="Z29" sqref="Z29"/>
    </sheetView>
  </sheetViews>
  <sheetFormatPr defaultRowHeight="30" customHeight="1"/>
  <cols>
    <col min="1" max="1" width="7.75" style="2" customWidth="1"/>
    <col min="2" max="2" width="27.5" style="2" customWidth="1"/>
    <col min="3" max="3" width="39.625" style="2" customWidth="1"/>
    <col min="4" max="4" width="13.625" style="9" customWidth="1"/>
    <col min="5" max="5" width="12.875" style="9" customWidth="1"/>
    <col min="6" max="6" width="13.375" style="9" customWidth="1"/>
    <col min="7" max="7" width="8.5" style="9" customWidth="1"/>
    <col min="8" max="8" width="13.25" style="9" customWidth="1"/>
    <col min="9" max="9" width="28.125" style="2" customWidth="1"/>
    <col min="10" max="10" width="18.125" style="9" customWidth="1"/>
    <col min="11" max="11" width="18.875" style="9" customWidth="1"/>
    <col min="12" max="12" width="45.375" style="2" customWidth="1"/>
    <col min="13" max="13" width="11.75" style="9" customWidth="1"/>
    <col min="14" max="14" width="13.625" style="9" customWidth="1"/>
    <col min="15" max="15" width="42.125" style="2" customWidth="1"/>
    <col min="16" max="16" width="10" style="2" customWidth="1"/>
    <col min="17" max="17" width="13.125" style="9" customWidth="1"/>
    <col min="18" max="18" width="14.75" style="9" customWidth="1"/>
    <col min="19" max="19" width="56.25" style="2" customWidth="1"/>
    <col min="20" max="20" width="17.75" style="9" customWidth="1"/>
    <col min="21" max="21" width="25.625" style="2" customWidth="1"/>
    <col min="22" max="22" width="12.75" style="9" customWidth="1"/>
    <col min="23" max="23" width="16.75" style="9" customWidth="1"/>
    <col min="24" max="24" width="12.75" style="9" customWidth="1"/>
    <col min="25" max="25" width="14" style="9" customWidth="1"/>
    <col min="26" max="26" width="69.625" style="2" customWidth="1"/>
    <col min="27" max="16384" width="9" style="2"/>
  </cols>
  <sheetData>
    <row r="1" spans="1:26" s="1" customFormat="1" ht="30" customHeight="1">
      <c r="A1" s="53" t="s">
        <v>222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25"/>
      <c r="R1" s="25"/>
      <c r="S1" s="14"/>
      <c r="T1" s="25"/>
      <c r="U1" s="14"/>
      <c r="V1" s="25"/>
      <c r="W1" s="25"/>
      <c r="X1" s="25"/>
      <c r="Y1" s="25"/>
      <c r="Z1" s="14"/>
    </row>
    <row r="2" spans="1:26" ht="30" customHeight="1">
      <c r="A2" s="15" t="s">
        <v>223</v>
      </c>
      <c r="B2" s="15" t="s">
        <v>224</v>
      </c>
      <c r="C2" s="15" t="s">
        <v>225</v>
      </c>
      <c r="D2" s="15" t="s">
        <v>226</v>
      </c>
      <c r="E2" s="15" t="s">
        <v>227</v>
      </c>
      <c r="F2" s="15" t="s">
        <v>9</v>
      </c>
      <c r="G2" s="15" t="s">
        <v>228</v>
      </c>
      <c r="H2" s="15" t="s">
        <v>229</v>
      </c>
      <c r="I2" s="15" t="s">
        <v>230</v>
      </c>
      <c r="J2" s="15" t="s">
        <v>231</v>
      </c>
      <c r="K2" s="15" t="s">
        <v>232</v>
      </c>
      <c r="L2" s="15" t="s">
        <v>233</v>
      </c>
      <c r="M2" s="15" t="s">
        <v>234</v>
      </c>
      <c r="N2" s="15" t="s">
        <v>235</v>
      </c>
      <c r="O2" s="15" t="s">
        <v>236</v>
      </c>
      <c r="P2" s="15" t="s">
        <v>237</v>
      </c>
      <c r="Q2" s="15" t="s">
        <v>238</v>
      </c>
      <c r="R2" s="15" t="s">
        <v>239</v>
      </c>
      <c r="S2" s="16" t="s">
        <v>240</v>
      </c>
      <c r="T2" s="15" t="s">
        <v>241</v>
      </c>
      <c r="U2" s="16" t="s">
        <v>242</v>
      </c>
      <c r="V2" s="15" t="s">
        <v>243</v>
      </c>
      <c r="W2" s="15" t="s">
        <v>244</v>
      </c>
      <c r="X2" s="15" t="s">
        <v>245</v>
      </c>
      <c r="Y2" s="15" t="s">
        <v>246</v>
      </c>
      <c r="Z2" s="16" t="s">
        <v>247</v>
      </c>
    </row>
    <row r="3" spans="1:26" ht="70" customHeight="1">
      <c r="A3" s="74" t="inlineStr">
        <is>
          <t>R1</t>
        </is>
      </c>
      <c r="B3" s="74" t="inlineStr">
        <is>
          <t>Material delivery delays</t>
        </is>
      </c>
      <c r="C3" s="74" t="inlineStr">
        <is>
          <t>Material delivery delays; duration impact on 2.3, 2.6; occurrence probability 30%.</t>
        </is>
      </c>
      <c r="D3" s="19"/>
      <c r="E3" s="72" t="inlineStr">
        <is>
          <t>Threat</t>
        </is>
      </c>
      <c r="F3" s="35">
        <v>0.3</v>
      </c>
      <c r="G3" s="72" t="inlineStr">
        <is>
          <t>Local</t>
        </is>
      </c>
      <c r="H3" s="72" t="inlineStr">
        <is>
          <t>Duration</t>
        </is>
      </c>
      <c r="I3" s="17"/>
      <c r="J3" s="21"/>
      <c r="K3" s="34"/>
      <c r="L3" s="28"/>
      <c r="M3" s="34"/>
      <c r="N3" s="78" t="inlineStr">
        <is>
          <t>Triangular</t>
        </is>
      </c>
      <c r="O3" s="79" t="inlineStr">
        <is>
          <t>Triangular selected by user; distribution not named in source.</t>
        </is>
      </c>
      <c r="P3" s="17" t="b">
        <v>1</v>
      </c>
      <c r="Q3" s="32"/>
      <c r="R3" s="32"/>
      <c r="S3" s="29"/>
      <c r="T3" s="32"/>
      <c r="U3" s="30"/>
      <c r="V3" s="33"/>
      <c r="W3" s="32"/>
      <c r="X3" s="32"/>
      <c r="Y3" s="32"/>
      <c r="Z3" s="29"/>
    </row>
    <row r="4" spans="1:26" ht="70" customHeight="1">
      <c r="A4" s="74" t="inlineStr">
        <is>
          <t>R2</t>
        </is>
      </c>
      <c r="B4" s="74" t="inlineStr">
        <is>
          <t>Pipe design errors</t>
        </is>
      </c>
      <c r="C4" s="74" t="inlineStr">
        <is>
          <t>Pipe design errors; duration impact on 2.2, 2.5; occurrence probability 30%.</t>
        </is>
      </c>
      <c r="D4" s="19"/>
      <c r="E4" s="72" t="inlineStr">
        <is>
          <t>Threat</t>
        </is>
      </c>
      <c r="F4" s="35">
        <v>0.3</v>
      </c>
      <c r="G4" s="72" t="inlineStr">
        <is>
          <t>Local</t>
        </is>
      </c>
      <c r="H4" s="72" t="inlineStr">
        <is>
          <t>Duration</t>
        </is>
      </c>
      <c r="I4" s="17"/>
      <c r="J4" s="21"/>
      <c r="K4" s="34"/>
      <c r="L4" s="28"/>
      <c r="M4" s="34"/>
      <c r="N4" s="78" t="inlineStr">
        <is>
          <t>Triangular</t>
        </is>
      </c>
      <c r="O4" s="79" t="inlineStr">
        <is>
          <t>Triangular selected by user; distribution not named in source.</t>
        </is>
      </c>
      <c r="P4" s="17" t="b">
        <v>1</v>
      </c>
      <c r="Q4" s="32"/>
      <c r="R4" s="32"/>
      <c r="S4" s="29"/>
      <c r="T4" s="32"/>
      <c r="U4" s="30"/>
      <c r="V4" s="33"/>
      <c r="W4" s="32"/>
      <c r="X4" s="32"/>
      <c r="Y4" s="32"/>
      <c r="Z4" s="29"/>
    </row>
    <row r="5" spans="1:26" ht="70" customHeight="1">
      <c r="A5" s="74" t="inlineStr">
        <is>
          <t>R3</t>
        </is>
      </c>
      <c r="B5" s="74" t="inlineStr">
        <is>
          <t>Adverse weather during excavation</t>
        </is>
      </c>
      <c r="C5" s="74" t="inlineStr">
        <is>
          <t>Adverse weather during excavation; duration impact on 2.5, 2.6; occurrence probability 20%.</t>
        </is>
      </c>
      <c r="D5" s="19"/>
      <c r="E5" s="72" t="inlineStr">
        <is>
          <t>Threat</t>
        </is>
      </c>
      <c r="F5" s="35">
        <v>0.2</v>
      </c>
      <c r="G5" s="72" t="inlineStr">
        <is>
          <t>Local</t>
        </is>
      </c>
      <c r="H5" s="72" t="inlineStr">
        <is>
          <t>Duration</t>
        </is>
      </c>
      <c r="I5" s="17"/>
      <c r="J5" s="21"/>
      <c r="K5" s="34"/>
      <c r="L5" s="28"/>
      <c r="M5" s="34"/>
      <c r="N5" s="78" t="inlineStr">
        <is>
          <t>Normal</t>
        </is>
      </c>
      <c r="O5" s="79" t="inlineStr">
        <is>
          <t>Normal selected by user; source gives mean/SD but no distribution name. Negative draws use the existing zero floor.</t>
        </is>
      </c>
      <c r="P5" s="17" t="b">
        <v>1</v>
      </c>
      <c r="Q5" s="32"/>
      <c r="R5" s="32"/>
      <c r="S5" s="29"/>
      <c r="T5" s="32"/>
      <c r="U5" s="30"/>
      <c r="V5" s="33"/>
      <c r="W5" s="32"/>
      <c r="X5" s="32"/>
      <c r="Y5" s="32"/>
      <c r="Z5" s="29"/>
    </row>
    <row r="6" spans="1:26" ht="70" customHeight="1">
      <c r="A6" s="74" t="inlineStr">
        <is>
          <t>R4</t>
        </is>
      </c>
      <c r="B6" s="74" t="inlineStr">
        <is>
          <t>Pressure-test quality problems</t>
        </is>
      </c>
      <c r="C6" s="74" t="inlineStr">
        <is>
          <t>Pressure-test quality problems; duration impact on 2.7, 2.8; occurrence probability 40%.</t>
        </is>
      </c>
      <c r="D6" s="19"/>
      <c r="E6" s="72" t="inlineStr">
        <is>
          <t>Threat</t>
        </is>
      </c>
      <c r="F6" s="35">
        <v>0.4</v>
      </c>
      <c r="G6" s="72" t="inlineStr">
        <is>
          <t>Local</t>
        </is>
      </c>
      <c r="H6" s="72" t="inlineStr">
        <is>
          <t>Duration</t>
        </is>
      </c>
      <c r="I6" s="17"/>
      <c r="J6" s="21"/>
      <c r="K6" s="34"/>
      <c r="L6" s="28"/>
      <c r="M6" s="34"/>
      <c r="N6" s="78" t="inlineStr">
        <is>
          <t>Exponential</t>
        </is>
      </c>
      <c r="O6" s="17"/>
      <c r="P6" s="17" t="b">
        <v>1</v>
      </c>
      <c r="Q6" s="32"/>
      <c r="R6" s="32"/>
      <c r="S6" s="29"/>
      <c r="T6" s="32"/>
      <c r="U6" s="30"/>
      <c r="V6" s="33"/>
      <c r="W6" s="32"/>
      <c r="X6" s="32"/>
      <c r="Y6" s="32"/>
      <c r="Z6" s="29"/>
    </row>
    <row r="7" spans="1:26" ht="70" customHeight="1">
      <c r="A7" s="74" t="inlineStr">
        <is>
          <t>R5</t>
        </is>
      </c>
      <c r="B7" s="74" t="inlineStr">
        <is>
          <t>Communication failures during training</t>
        </is>
      </c>
      <c r="C7" s="74" t="inlineStr">
        <is>
          <t>Communication failures during training; duration impact on 2.10, 2.13; occurrence probability 20%.</t>
        </is>
      </c>
      <c r="D7" s="19"/>
      <c r="E7" s="72" t="inlineStr">
        <is>
          <t>Threat</t>
        </is>
      </c>
      <c r="F7" s="35">
        <v>0.2</v>
      </c>
      <c r="G7" s="72" t="inlineStr">
        <is>
          <t>Local</t>
        </is>
      </c>
      <c r="H7" s="72" t="inlineStr">
        <is>
          <t>Duration</t>
        </is>
      </c>
      <c r="I7" s="17"/>
      <c r="J7" s="21"/>
      <c r="K7" s="34"/>
      <c r="L7" s="28"/>
      <c r="M7" s="34"/>
      <c r="N7" s="78" t="inlineStr">
        <is>
          <t>Triangular</t>
        </is>
      </c>
      <c r="O7" s="79" t="inlineStr">
        <is>
          <t>Triangular selected by user; distribution not named in source.</t>
        </is>
      </c>
      <c r="P7" s="17" t="b">
        <v>1</v>
      </c>
      <c r="Q7" s="32"/>
      <c r="R7" s="32"/>
      <c r="S7" s="29"/>
      <c r="T7" s="32"/>
      <c r="U7" s="30"/>
      <c r="V7" s="33"/>
      <c r="W7" s="32"/>
      <c r="X7" s="32"/>
      <c r="Y7" s="32"/>
      <c r="Z7" s="29"/>
    </row>
    <row r="8" spans="1:26" ht="70" customHeight="1">
      <c r="A8" s="74" t="inlineStr">
        <is>
          <t>R6</t>
        </is>
      </c>
      <c r="B8" s="74" t="inlineStr">
        <is>
          <t>Failed quality inspection</t>
        </is>
      </c>
      <c r="C8" s="74" t="inlineStr">
        <is>
          <t>Failed quality inspection; duration impact on 2.8, 2.9; occurrence probability 10%.</t>
        </is>
      </c>
      <c r="D8" s="19"/>
      <c r="E8" s="72" t="inlineStr">
        <is>
          <t>Threat</t>
        </is>
      </c>
      <c r="F8" s="35">
        <v>0.1</v>
      </c>
      <c r="G8" s="72" t="inlineStr">
        <is>
          <t>Local</t>
        </is>
      </c>
      <c r="H8" s="72" t="inlineStr">
        <is>
          <t>Duration</t>
        </is>
      </c>
      <c r="I8" s="17"/>
      <c r="J8" s="21"/>
      <c r="K8" s="34"/>
      <c r="L8" s="28"/>
      <c r="M8" s="34"/>
      <c r="N8" s="78" t="inlineStr">
        <is>
          <t>Triangular</t>
        </is>
      </c>
      <c r="O8" s="79" t="inlineStr">
        <is>
          <t>Triangular selected by user; distribution not named in source.</t>
        </is>
      </c>
      <c r="P8" s="17" t="b">
        <v>1</v>
      </c>
      <c r="Q8" s="32"/>
      <c r="R8" s="32"/>
      <c r="S8" s="29"/>
      <c r="T8" s="32"/>
      <c r="U8" s="30"/>
      <c r="V8" s="33"/>
      <c r="W8" s="32"/>
      <c r="X8" s="32"/>
      <c r="Y8" s="32"/>
      <c r="Z8" s="29"/>
    </row>
    <row r="9" spans="1:26" ht="70" customHeight="1">
      <c r="A9" s="74" t="inlineStr">
        <is>
          <t>R7</t>
        </is>
      </c>
      <c r="B9" s="74" t="inlineStr">
        <is>
          <t>Lack of qualified installation personnel</t>
        </is>
      </c>
      <c r="C9" s="74" t="inlineStr">
        <is>
          <t>Lack of qualified installation personnel; duration impact on 2.6, 2.10; occurrence probability 30%.</t>
        </is>
      </c>
      <c r="D9" s="19"/>
      <c r="E9" s="72" t="inlineStr">
        <is>
          <t>Threat</t>
        </is>
      </c>
      <c r="F9" s="35">
        <v>0.3</v>
      </c>
      <c r="G9" s="72" t="inlineStr">
        <is>
          <t>Local</t>
        </is>
      </c>
      <c r="H9" s="72" t="inlineStr">
        <is>
          <t>Duration</t>
        </is>
      </c>
      <c r="I9" s="17"/>
      <c r="J9" s="21"/>
      <c r="K9" s="34"/>
      <c r="L9" s="28"/>
      <c r="M9" s="34"/>
      <c r="N9" s="78" t="inlineStr">
        <is>
          <t>Exponential</t>
        </is>
      </c>
      <c r="O9" s="17"/>
      <c r="P9" s="17" t="b">
        <v>1</v>
      </c>
      <c r="Q9" s="32"/>
      <c r="R9" s="32"/>
      <c r="S9" s="29"/>
      <c r="T9" s="32"/>
      <c r="U9" s="30"/>
      <c r="V9" s="33"/>
      <c r="W9" s="32"/>
      <c r="X9" s="32"/>
      <c r="Y9" s="32"/>
      <c r="Z9" s="29"/>
    </row>
    <row r="10" spans="1:26" ht="70" customHeight="1">
      <c r="A10" s="74" t="inlineStr">
        <is>
          <t>R8</t>
        </is>
      </c>
      <c r="B10" s="74" t="inlineStr">
        <is>
          <t>Material review not completed on time</t>
        </is>
      </c>
      <c r="C10" s="74" t="inlineStr">
        <is>
          <t>Material review not completed on time; duration impact on 2.4, 2.12; occurrence probability 20%.</t>
        </is>
      </c>
      <c r="D10" s="19"/>
      <c r="E10" s="72" t="inlineStr">
        <is>
          <t>Threat</t>
        </is>
      </c>
      <c r="F10" s="35">
        <v>0.2</v>
      </c>
      <c r="G10" s="72" t="inlineStr">
        <is>
          <t>Local</t>
        </is>
      </c>
      <c r="H10" s="72" t="inlineStr">
        <is>
          <t>Duration</t>
        </is>
      </c>
      <c r="I10" s="17"/>
      <c r="J10" s="21"/>
      <c r="K10" s="34"/>
      <c r="L10" s="28"/>
      <c r="M10" s="34"/>
      <c r="N10" s="78" t="inlineStr">
        <is>
          <t>Triangular</t>
        </is>
      </c>
      <c r="O10" s="79" t="inlineStr">
        <is>
          <t>Triangular selected by user; distribution not named in source. R8 numeric reference 2.15 corrected to named activity 2.4, confirmed by user.</t>
        </is>
      </c>
      <c r="P10" s="17" t="b">
        <v>1</v>
      </c>
      <c r="Q10" s="32"/>
      <c r="R10" s="32"/>
      <c r="S10" s="29"/>
      <c r="T10" s="32"/>
      <c r="U10" s="30"/>
      <c r="V10" s="33"/>
      <c r="W10" s="32"/>
      <c r="X10" s="32"/>
      <c r="Y10" s="32"/>
      <c r="Z10" s="29"/>
    </row>
    <row r="11" spans="1:26" ht="30" customHeight="1">
      <c r="A11" s="6"/>
      <c r="B11" s="6"/>
      <c r="C11" s="6"/>
      <c r="D11" s="19"/>
      <c r="E11" s="19"/>
      <c r="F11" s="35"/>
      <c r="G11" s="19"/>
      <c r="H11" s="19"/>
      <c r="I11" s="17"/>
      <c r="J11" s="21"/>
      <c r="K11" s="34"/>
      <c r="L11" s="28"/>
      <c r="M11" s="34"/>
      <c r="N11" s="21"/>
      <c r="O11" s="17"/>
      <c r="P11" s="17"/>
      <c r="Q11" s="32"/>
      <c r="R11" s="32"/>
      <c r="S11" s="29"/>
      <c r="T11" s="32"/>
      <c r="U11" s="30"/>
      <c r="V11" s="33"/>
      <c r="W11" s="32"/>
      <c r="X11" s="32"/>
      <c r="Y11" s="32"/>
      <c r="Z11" s="29"/>
    </row>
    <row r="12" spans="1:26" ht="30" customHeight="1">
      <c r="A12" s="6"/>
      <c r="B12" s="6"/>
      <c r="C12" s="6"/>
      <c r="D12" s="19"/>
      <c r="E12" s="19"/>
      <c r="F12" s="35"/>
      <c r="G12" s="19"/>
      <c r="H12" s="19"/>
      <c r="I12" s="17"/>
      <c r="J12" s="21"/>
      <c r="K12" s="34"/>
      <c r="L12" s="28"/>
      <c r="M12" s="34"/>
      <c r="N12" s="21"/>
      <c r="O12" s="17"/>
      <c r="P12" s="17"/>
      <c r="Q12" s="32"/>
      <c r="R12" s="32"/>
      <c r="S12" s="29"/>
      <c r="T12" s="32"/>
      <c r="U12" s="30"/>
      <c r="V12" s="33"/>
      <c r="W12" s="32"/>
      <c r="X12" s="32"/>
      <c r="Y12" s="32"/>
      <c r="Z12" s="29"/>
    </row>
    <row r="13" spans="1:26" ht="30" customHeight="1">
      <c r="A13" s="6"/>
      <c r="B13" s="6"/>
      <c r="C13" s="6"/>
      <c r="D13" s="19"/>
      <c r="E13" s="19"/>
      <c r="F13" s="35"/>
      <c r="G13" s="19"/>
      <c r="H13" s="19"/>
      <c r="I13" s="17"/>
      <c r="J13" s="21"/>
      <c r="K13" s="34"/>
      <c r="L13" s="28"/>
      <c r="M13" s="34"/>
      <c r="N13" s="21"/>
      <c r="O13" s="17"/>
      <c r="P13" s="17"/>
      <c r="Q13" s="32"/>
      <c r="R13" s="32"/>
      <c r="S13" s="29"/>
      <c r="T13" s="32"/>
      <c r="U13" s="30"/>
      <c r="V13" s="33"/>
      <c r="W13" s="32"/>
      <c r="X13" s="32"/>
      <c r="Y13" s="32"/>
      <c r="Z13" s="29"/>
    </row>
    <row r="14" spans="1:26" ht="30" customHeight="1">
      <c r="A14" s="6"/>
      <c r="B14" s="6"/>
      <c r="C14" s="6"/>
      <c r="D14" s="19"/>
      <c r="E14" s="19"/>
      <c r="F14" s="35"/>
      <c r="G14" s="19"/>
      <c r="H14" s="19"/>
      <c r="I14" s="17"/>
      <c r="J14" s="21"/>
      <c r="K14" s="34"/>
      <c r="L14" s="28"/>
      <c r="M14" s="34"/>
      <c r="N14" s="21"/>
      <c r="O14" s="17"/>
      <c r="P14" s="17"/>
      <c r="Q14" s="32"/>
      <c r="R14" s="32"/>
      <c r="S14" s="29"/>
      <c r="T14" s="32"/>
      <c r="U14" s="30"/>
      <c r="V14" s="33"/>
      <c r="W14" s="32"/>
      <c r="X14" s="32"/>
      <c r="Y14" s="32"/>
      <c r="Z14" s="29"/>
    </row>
    <row r="15" spans="1:26" ht="30" customHeight="1">
      <c r="A15" s="6"/>
      <c r="B15" s="6"/>
      <c r="C15" s="6"/>
      <c r="D15" s="19"/>
      <c r="E15" s="19"/>
      <c r="F15" s="35"/>
      <c r="G15" s="19"/>
      <c r="H15" s="19"/>
      <c r="I15" s="17"/>
      <c r="J15" s="21"/>
      <c r="K15" s="34"/>
      <c r="L15" s="28"/>
      <c r="M15" s="34"/>
      <c r="N15" s="21"/>
      <c r="O15" s="17"/>
      <c r="P15" s="17"/>
      <c r="Q15" s="32"/>
      <c r="R15" s="32"/>
      <c r="S15" s="29"/>
      <c r="T15" s="32"/>
      <c r="U15" s="30"/>
      <c r="V15" s="33"/>
      <c r="W15" s="32"/>
      <c r="X15" s="32"/>
      <c r="Y15" s="32"/>
      <c r="Z15" s="29"/>
    </row>
    <row r="16" spans="1:26" ht="30" customHeight="1">
      <c r="A16" s="6"/>
      <c r="B16" s="6"/>
      <c r="C16" s="6"/>
      <c r="D16" s="19"/>
      <c r="E16" s="19"/>
      <c r="F16" s="35"/>
      <c r="G16" s="19"/>
      <c r="H16" s="19"/>
      <c r="I16" s="17"/>
      <c r="J16" s="21"/>
      <c r="K16" s="34"/>
      <c r="L16" s="28"/>
      <c r="M16" s="34"/>
      <c r="N16" s="21"/>
      <c r="O16" s="17"/>
      <c r="P16" s="17"/>
      <c r="Q16" s="32"/>
      <c r="R16" s="32"/>
      <c r="S16" s="29"/>
      <c r="T16" s="32"/>
      <c r="U16" s="30"/>
      <c r="V16" s="33"/>
      <c r="W16" s="32"/>
      <c r="X16" s="32"/>
      <c r="Y16" s="32"/>
      <c r="Z16" s="29"/>
    </row>
    <row r="17" spans="1:26" ht="30" customHeight="1">
      <c r="A17" s="6"/>
      <c r="B17" s="6"/>
      <c r="C17" s="6"/>
      <c r="D17" s="19"/>
      <c r="E17" s="19"/>
      <c r="F17" s="35"/>
      <c r="G17" s="19"/>
      <c r="H17" s="19"/>
      <c r="I17" s="17"/>
      <c r="J17" s="21"/>
      <c r="K17" s="34"/>
      <c r="L17" s="28"/>
      <c r="M17" s="34"/>
      <c r="N17" s="21"/>
      <c r="O17" s="17"/>
      <c r="P17" s="17"/>
      <c r="Q17" s="32"/>
      <c r="R17" s="32"/>
      <c r="S17" s="29"/>
      <c r="T17" s="32"/>
      <c r="U17" s="30"/>
      <c r="V17" s="33"/>
      <c r="W17" s="32"/>
      <c r="X17" s="32"/>
      <c r="Y17" s="32"/>
      <c r="Z17" s="29"/>
    </row>
    <row r="18" spans="1:26" ht="30" customHeight="1">
      <c r="A18" s="6"/>
      <c r="B18" s="6"/>
      <c r="C18" s="6"/>
      <c r="D18" s="19"/>
      <c r="E18" s="19"/>
      <c r="F18" s="35"/>
      <c r="G18" s="19"/>
      <c r="H18" s="19"/>
      <c r="I18" s="17"/>
      <c r="J18" s="21"/>
      <c r="K18" s="34"/>
      <c r="L18" s="28"/>
      <c r="M18" s="34"/>
      <c r="N18" s="21"/>
      <c r="O18" s="17"/>
      <c r="P18" s="17"/>
      <c r="Q18" s="32"/>
      <c r="R18" s="32"/>
      <c r="S18" s="29"/>
      <c r="T18" s="32"/>
      <c r="U18" s="30"/>
      <c r="V18" s="33"/>
      <c r="W18" s="32"/>
      <c r="X18" s="32"/>
      <c r="Y18" s="32"/>
      <c r="Z18" s="29"/>
    </row>
    <row r="19" spans="1:26" ht="30" customHeight="1">
      <c r="A19" s="6"/>
      <c r="B19" s="6"/>
      <c r="C19" s="6"/>
      <c r="D19" s="19"/>
      <c r="E19" s="19"/>
      <c r="F19" s="35"/>
      <c r="G19" s="19"/>
      <c r="H19" s="19"/>
      <c r="I19" s="17"/>
      <c r="J19" s="21"/>
      <c r="K19" s="34"/>
      <c r="L19" s="28"/>
      <c r="M19" s="34"/>
      <c r="N19" s="21"/>
      <c r="O19" s="17"/>
      <c r="P19" s="17"/>
      <c r="Q19" s="32"/>
      <c r="R19" s="32"/>
      <c r="S19" s="29"/>
      <c r="T19" s="32"/>
      <c r="U19" s="30"/>
      <c r="V19" s="33"/>
      <c r="W19" s="32"/>
      <c r="X19" s="32"/>
      <c r="Y19" s="32"/>
      <c r="Z19" s="29"/>
    </row>
    <row r="20" spans="1:26" ht="30" customHeight="1">
      <c r="A20" s="6"/>
      <c r="B20" s="6"/>
      <c r="C20" s="6"/>
      <c r="D20" s="19"/>
      <c r="E20" s="19"/>
      <c r="F20" s="35"/>
      <c r="G20" s="19"/>
      <c r="H20" s="19"/>
      <c r="I20" s="17"/>
      <c r="J20" s="21"/>
      <c r="K20" s="34"/>
      <c r="L20" s="28"/>
      <c r="M20" s="34"/>
      <c r="N20" s="21"/>
      <c r="O20" s="17"/>
      <c r="P20" s="17"/>
      <c r="Q20" s="32"/>
      <c r="R20" s="32"/>
      <c r="S20" s="29"/>
      <c r="T20" s="32"/>
      <c r="U20" s="30"/>
      <c r="V20" s="33"/>
      <c r="W20" s="32"/>
      <c r="X20" s="32"/>
      <c r="Y20" s="32"/>
      <c r="Z20" s="29"/>
    </row>
    <row r="21" spans="1:26" ht="30" customHeight="1">
      <c r="A21" s="6"/>
      <c r="B21" s="6"/>
      <c r="C21" s="6"/>
      <c r="D21" s="19"/>
      <c r="E21" s="19"/>
      <c r="F21" s="35"/>
      <c r="G21" s="19"/>
      <c r="H21" s="19"/>
      <c r="I21" s="17"/>
      <c r="J21" s="21"/>
      <c r="K21" s="34"/>
      <c r="L21" s="28"/>
      <c r="M21" s="34"/>
      <c r="N21" s="21"/>
      <c r="O21" s="17"/>
      <c r="P21" s="17"/>
      <c r="Q21" s="32"/>
      <c r="R21" s="32"/>
      <c r="S21" s="29"/>
      <c r="T21" s="32"/>
      <c r="U21" s="30"/>
      <c r="V21" s="33"/>
      <c r="W21" s="32"/>
      <c r="X21" s="32"/>
      <c r="Y21" s="32"/>
      <c r="Z21" s="29"/>
    </row>
    <row r="22" spans="1:26" ht="30" customHeight="1">
      <c r="A22" s="6"/>
      <c r="B22" s="6"/>
      <c r="C22" s="6"/>
      <c r="D22" s="19"/>
      <c r="E22" s="19"/>
      <c r="F22" s="35"/>
      <c r="G22" s="19"/>
      <c r="H22" s="19"/>
      <c r="I22" s="17"/>
      <c r="J22" s="21"/>
      <c r="K22" s="34"/>
      <c r="L22" s="28"/>
      <c r="M22" s="34"/>
      <c r="N22" s="21"/>
      <c r="O22" s="17"/>
      <c r="P22" s="17"/>
      <c r="Q22" s="32"/>
      <c r="R22" s="32"/>
      <c r="S22" s="29"/>
      <c r="T22" s="32"/>
      <c r="U22" s="30"/>
      <c r="V22" s="33"/>
      <c r="W22" s="32"/>
      <c r="X22" s="32"/>
      <c r="Y22" s="32"/>
      <c r="Z22" s="29"/>
    </row>
    <row r="23" spans="1:26" ht="30" customHeight="1">
      <c r="A23" s="6"/>
      <c r="B23" s="6"/>
      <c r="C23" s="6"/>
      <c r="D23" s="19"/>
      <c r="E23" s="19"/>
      <c r="F23" s="35"/>
      <c r="G23" s="19"/>
      <c r="H23" s="19"/>
      <c r="I23" s="17"/>
      <c r="J23" s="21"/>
      <c r="K23" s="34"/>
      <c r="L23" s="28"/>
      <c r="M23" s="34"/>
      <c r="N23" s="21"/>
      <c r="O23" s="17"/>
      <c r="P23" s="17"/>
      <c r="Q23" s="32"/>
      <c r="R23" s="32"/>
      <c r="S23" s="29"/>
      <c r="T23" s="32"/>
      <c r="U23" s="30"/>
      <c r="V23" s="33"/>
      <c r="W23" s="32"/>
      <c r="X23" s="32"/>
      <c r="Y23" s="32"/>
      <c r="Z23" s="29"/>
    </row>
    <row r="24" spans="1:26" ht="30" customHeight="1">
      <c r="A24" s="6"/>
      <c r="B24" s="6"/>
      <c r="C24" s="6"/>
      <c r="D24" s="19"/>
      <c r="E24" s="19"/>
      <c r="F24" s="35"/>
      <c r="G24" s="19"/>
      <c r="H24" s="19"/>
      <c r="I24" s="17"/>
      <c r="J24" s="21"/>
      <c r="K24" s="34"/>
      <c r="L24" s="28"/>
      <c r="M24" s="34"/>
      <c r="N24" s="21"/>
      <c r="O24" s="17"/>
      <c r="P24" s="17"/>
      <c r="Q24" s="32"/>
      <c r="R24" s="32"/>
      <c r="S24" s="29"/>
      <c r="T24" s="32"/>
      <c r="U24" s="30"/>
      <c r="V24" s="33"/>
      <c r="W24" s="32"/>
      <c r="X24" s="32"/>
      <c r="Y24" s="32"/>
      <c r="Z24" s="29"/>
    </row>
    <row r="25" spans="1:26" ht="30" customHeight="1">
      <c r="A25" s="6"/>
      <c r="B25" s="6"/>
      <c r="C25" s="6"/>
      <c r="D25" s="19"/>
      <c r="E25" s="19"/>
      <c r="F25" s="35"/>
      <c r="G25" s="19"/>
      <c r="H25" s="19"/>
      <c r="I25" s="17"/>
      <c r="J25" s="21"/>
      <c r="K25" s="34"/>
      <c r="L25" s="28"/>
      <c r="M25" s="34"/>
      <c r="N25" s="21"/>
      <c r="O25" s="17"/>
      <c r="P25" s="17"/>
      <c r="Q25" s="32"/>
      <c r="R25" s="32"/>
      <c r="S25" s="29"/>
      <c r="T25" s="32"/>
      <c r="U25" s="30"/>
      <c r="V25" s="33"/>
      <c r="W25" s="32"/>
      <c r="X25" s="32"/>
      <c r="Y25" s="32"/>
      <c r="Z25" s="29"/>
    </row>
    <row r="26" spans="1:26" ht="30" customHeight="1">
      <c r="A26" s="6"/>
      <c r="B26" s="6"/>
      <c r="C26" s="6"/>
      <c r="D26" s="19"/>
      <c r="E26" s="19"/>
      <c r="F26" s="35"/>
      <c r="G26" s="19"/>
      <c r="H26" s="19"/>
      <c r="I26" s="17"/>
      <c r="J26" s="21"/>
      <c r="K26" s="34"/>
      <c r="L26" s="28"/>
      <c r="M26" s="34"/>
      <c r="N26" s="21"/>
      <c r="O26" s="17"/>
      <c r="P26" s="17"/>
      <c r="Q26" s="32"/>
      <c r="R26" s="32"/>
      <c r="S26" s="29"/>
      <c r="T26" s="32"/>
      <c r="U26" s="30"/>
      <c r="V26" s="33"/>
      <c r="W26" s="32"/>
      <c r="X26" s="32"/>
      <c r="Y26" s="32"/>
      <c r="Z26" s="29"/>
    </row>
    <row r="27" spans="1:26" ht="30" customHeight="1">
      <c r="A27" s="6"/>
      <c r="B27" s="6"/>
      <c r="C27" s="6"/>
      <c r="D27" s="19"/>
      <c r="E27" s="19"/>
      <c r="F27" s="35"/>
      <c r="G27" s="19"/>
      <c r="H27" s="19"/>
      <c r="I27" s="17"/>
      <c r="J27" s="21"/>
      <c r="K27" s="21"/>
      <c r="L27" s="17"/>
      <c r="M27" s="21"/>
      <c r="N27" s="21"/>
      <c r="O27" s="17"/>
      <c r="P27" s="17"/>
      <c r="Q27" s="32"/>
      <c r="R27" s="32"/>
      <c r="S27" s="29"/>
      <c r="T27" s="32"/>
      <c r="U27" s="31"/>
      <c r="V27" s="33"/>
      <c r="W27" s="32"/>
      <c r="X27" s="32"/>
      <c r="Y27" s="32"/>
      <c r="Z27" s="29"/>
    </row>
    <row r="28" spans="1:26" ht="30" customHeight="1">
      <c r="A28" s="6"/>
      <c r="B28" s="6"/>
      <c r="C28" s="6"/>
      <c r="D28" s="19"/>
      <c r="E28" s="19"/>
      <c r="F28" s="35"/>
      <c r="G28" s="19"/>
      <c r="H28" s="19"/>
      <c r="I28" s="17"/>
      <c r="J28" s="21"/>
      <c r="K28" s="21"/>
      <c r="L28" s="17"/>
      <c r="M28" s="21"/>
      <c r="N28" s="21"/>
      <c r="O28" s="17"/>
      <c r="P28" s="17"/>
      <c r="Q28" s="32"/>
      <c r="R28" s="32"/>
      <c r="S28" s="29"/>
      <c r="T28" s="32"/>
      <c r="U28" s="31"/>
      <c r="V28" s="33"/>
      <c r="W28" s="32"/>
      <c r="X28" s="32"/>
      <c r="Y28" s="32"/>
      <c r="Z28" s="29"/>
    </row>
    <row r="29" spans="1:26" ht="30" customHeight="1">
      <c r="A29" s="6"/>
      <c r="B29" s="6"/>
      <c r="C29" s="6"/>
      <c r="D29" s="19"/>
      <c r="E29" s="19"/>
      <c r="F29" s="35"/>
      <c r="G29" s="19"/>
      <c r="H29" s="19"/>
      <c r="I29" s="17"/>
      <c r="J29" s="21"/>
      <c r="K29" s="21"/>
      <c r="L29" s="17"/>
      <c r="M29" s="21"/>
      <c r="N29" s="21"/>
      <c r="O29" s="17"/>
      <c r="P29" s="17"/>
      <c r="Q29" s="32"/>
      <c r="R29" s="32"/>
      <c r="S29" s="29"/>
      <c r="T29" s="32"/>
      <c r="U29" s="31"/>
      <c r="V29" s="33"/>
      <c r="W29" s="32"/>
      <c r="X29" s="32"/>
      <c r="Y29" s="32"/>
      <c r="Z29" s="29"/>
    </row>
    <row r="30" spans="1:26" ht="30" customHeight="1">
      <c r="A30" s="6"/>
      <c r="B30" s="6"/>
      <c r="C30" s="6"/>
      <c r="D30" s="19"/>
      <c r="E30" s="19"/>
      <c r="F30" s="35"/>
      <c r="G30" s="19"/>
      <c r="H30" s="19"/>
      <c r="I30" s="17"/>
      <c r="J30" s="21"/>
      <c r="K30" s="21"/>
      <c r="L30" s="17"/>
      <c r="M30" s="21"/>
      <c r="N30" s="21"/>
      <c r="O30" s="17"/>
      <c r="P30" s="17"/>
      <c r="Q30" s="32"/>
      <c r="R30" s="32"/>
      <c r="S30" s="29"/>
      <c r="T30" s="32"/>
      <c r="U30" s="31"/>
      <c r="V30" s="33"/>
      <c r="W30" s="32"/>
      <c r="X30" s="32"/>
      <c r="Y30" s="32"/>
      <c r="Z30" s="29"/>
    </row>
    <row r="31" spans="1:26" ht="30" customHeight="1">
      <c r="A31" s="18"/>
      <c r="B31" s="18"/>
      <c r="C31" s="18"/>
      <c r="D31" s="20"/>
      <c r="E31" s="20"/>
      <c r="F31" s="36"/>
      <c r="G31" s="20"/>
      <c r="H31" s="20"/>
      <c r="I31" s="18"/>
      <c r="J31" s="20"/>
      <c r="K31" s="20"/>
      <c r="L31" s="18"/>
      <c r="M31" s="20"/>
      <c r="N31" s="20"/>
      <c r="O31" s="18"/>
      <c r="P31" s="18"/>
      <c r="Q31" s="32"/>
      <c r="R31" s="32"/>
      <c r="S31" s="29"/>
      <c r="T31" s="32"/>
      <c r="U31" s="31"/>
      <c r="V31" s="33"/>
      <c r="W31" s="32"/>
      <c r="X31" s="32"/>
      <c r="Y31" s="32"/>
      <c r="Z31" s="29"/>
    </row>
    <row r="32" spans="1:26" ht="30" customHeight="1">
      <c r="A32" s="18"/>
      <c r="B32" s="18"/>
      <c r="C32" s="18"/>
      <c r="D32" s="20"/>
      <c r="E32" s="20"/>
      <c r="F32" s="36"/>
      <c r="G32" s="20"/>
      <c r="H32" s="20"/>
      <c r="I32" s="18"/>
      <c r="J32" s="20"/>
      <c r="K32" s="20"/>
      <c r="L32" s="18"/>
      <c r="M32" s="20"/>
      <c r="N32" s="20"/>
      <c r="O32" s="18"/>
      <c r="P32" s="18"/>
      <c r="Q32" s="32"/>
      <c r="R32" s="32"/>
      <c r="S32" s="29"/>
      <c r="T32" s="32"/>
      <c r="U32" s="31"/>
      <c r="V32" s="33"/>
      <c r="W32" s="32"/>
      <c r="X32" s="32"/>
      <c r="Y32" s="32"/>
      <c r="Z32" s="29"/>
    </row>
    <row r="33" spans="1:26" ht="30" customHeight="1">
      <c r="A33" s="18"/>
      <c r="B33" s="18"/>
      <c r="C33" s="18"/>
      <c r="D33" s="20"/>
      <c r="E33" s="20"/>
      <c r="F33" s="36"/>
      <c r="G33" s="20"/>
      <c r="H33" s="20"/>
      <c r="I33" s="18"/>
      <c r="J33" s="20"/>
      <c r="K33" s="20"/>
      <c r="L33" s="18"/>
      <c r="M33" s="20"/>
      <c r="N33" s="20"/>
      <c r="O33" s="18"/>
      <c r="P33" s="18"/>
      <c r="Q33" s="32"/>
      <c r="R33" s="32"/>
      <c r="S33" s="29"/>
      <c r="T33" s="32"/>
      <c r="U33" s="31"/>
      <c r="V33" s="33"/>
      <c r="W33" s="32"/>
      <c r="X33" s="32"/>
      <c r="Y33" s="32"/>
      <c r="Z33" s="29"/>
    </row>
    <row r="34" spans="1:26" ht="30" customHeight="1">
      <c r="A34" s="18"/>
      <c r="B34" s="18"/>
      <c r="C34" s="18"/>
      <c r="D34" s="20"/>
      <c r="E34" s="20"/>
      <c r="F34" s="36"/>
      <c r="G34" s="20"/>
      <c r="H34" s="20"/>
      <c r="I34" s="18"/>
      <c r="J34" s="20"/>
      <c r="K34" s="20"/>
      <c r="L34" s="18"/>
      <c r="M34" s="20"/>
      <c r="N34" s="20"/>
      <c r="O34" s="18"/>
      <c r="P34" s="18"/>
      <c r="Q34" s="32"/>
      <c r="R34" s="32"/>
      <c r="S34" s="29"/>
      <c r="T34" s="32"/>
      <c r="U34" s="31"/>
      <c r="V34" s="33"/>
      <c r="W34" s="32"/>
      <c r="X34" s="32"/>
      <c r="Y34" s="32"/>
      <c r="Z34" s="29"/>
    </row>
    <row r="35" spans="1:26" ht="30" customHeight="1">
      <c r="A35" s="18"/>
      <c r="B35" s="18"/>
      <c r="C35" s="18"/>
      <c r="D35" s="20"/>
      <c r="E35" s="20"/>
      <c r="F35" s="36"/>
      <c r="G35" s="20"/>
      <c r="H35" s="20"/>
      <c r="I35" s="18"/>
      <c r="J35" s="20"/>
      <c r="K35" s="20"/>
      <c r="L35" s="18"/>
      <c r="M35" s="20"/>
      <c r="N35" s="20"/>
      <c r="O35" s="18"/>
      <c r="P35" s="18"/>
      <c r="Q35" s="32"/>
      <c r="R35" s="32"/>
      <c r="S35" s="29"/>
      <c r="T35" s="32"/>
      <c r="U35" s="31"/>
      <c r="V35" s="33"/>
      <c r="W35" s="32"/>
      <c r="X35" s="32"/>
      <c r="Y35" s="32"/>
      <c r="Z35" s="29"/>
    </row>
    <row r="36" spans="1:26" ht="30" customHeight="1">
      <c r="A36" s="18"/>
      <c r="B36" s="18"/>
      <c r="C36" s="18"/>
      <c r="D36" s="20"/>
      <c r="E36" s="20"/>
      <c r="F36" s="36"/>
      <c r="G36" s="20"/>
      <c r="H36" s="20"/>
      <c r="I36" s="18"/>
      <c r="J36" s="20"/>
      <c r="K36" s="20"/>
      <c r="L36" s="18"/>
      <c r="M36" s="20"/>
      <c r="N36" s="20"/>
      <c r="O36" s="18"/>
      <c r="P36" s="18"/>
      <c r="Q36" s="32"/>
      <c r="R36" s="32"/>
      <c r="S36" s="29"/>
      <c r="T36" s="32"/>
      <c r="U36" s="31"/>
      <c r="V36" s="33"/>
      <c r="W36" s="32"/>
      <c r="X36" s="32"/>
      <c r="Y36" s="32"/>
      <c r="Z36" s="29"/>
    </row>
    <row r="37" spans="1:26" ht="30" customHeight="1">
      <c r="A37" s="18"/>
      <c r="B37" s="18"/>
      <c r="C37" s="18"/>
      <c r="D37" s="20"/>
      <c r="E37" s="20"/>
      <c r="F37" s="36"/>
      <c r="G37" s="20"/>
      <c r="H37" s="20"/>
      <c r="I37" s="18"/>
      <c r="J37" s="20"/>
      <c r="K37" s="20"/>
      <c r="L37" s="18"/>
      <c r="M37" s="20"/>
      <c r="N37" s="20"/>
      <c r="O37" s="18"/>
      <c r="P37" s="18"/>
      <c r="Q37" s="32"/>
      <c r="R37" s="32"/>
      <c r="S37" s="29"/>
      <c r="T37" s="32"/>
      <c r="U37" s="31"/>
      <c r="V37" s="33"/>
      <c r="W37" s="32"/>
      <c r="X37" s="32"/>
      <c r="Y37" s="32"/>
      <c r="Z37" s="29"/>
    </row>
    <row r="38" spans="1:26" ht="30" customHeight="1">
      <c r="A38" s="18"/>
      <c r="B38" s="18"/>
      <c r="C38" s="18"/>
      <c r="D38" s="20"/>
      <c r="E38" s="20"/>
      <c r="F38" s="36"/>
      <c r="G38" s="20"/>
      <c r="H38" s="20"/>
      <c r="I38" s="18"/>
      <c r="J38" s="20"/>
      <c r="K38" s="20"/>
      <c r="L38" s="18"/>
      <c r="M38" s="20"/>
      <c r="N38" s="20"/>
      <c r="O38" s="18"/>
      <c r="P38" s="18"/>
      <c r="Q38" s="32"/>
      <c r="R38" s="32"/>
      <c r="S38" s="29"/>
      <c r="T38" s="32"/>
      <c r="U38" s="31"/>
      <c r="V38" s="33"/>
      <c r="W38" s="32"/>
      <c r="X38" s="32"/>
      <c r="Y38" s="32"/>
      <c r="Z38" s="29"/>
    </row>
    <row r="39" spans="1:26" ht="30" customHeight="1">
      <c r="A39" s="18"/>
      <c r="B39" s="18"/>
      <c r="C39" s="18"/>
      <c r="D39" s="20"/>
      <c r="E39" s="20"/>
      <c r="F39" s="36"/>
      <c r="G39" s="20"/>
      <c r="H39" s="20"/>
      <c r="I39" s="18"/>
      <c r="J39" s="20"/>
      <c r="K39" s="20"/>
      <c r="L39" s="18"/>
      <c r="M39" s="20"/>
      <c r="N39" s="20"/>
      <c r="O39" s="18"/>
      <c r="P39" s="18"/>
      <c r="Q39" s="32"/>
      <c r="R39" s="32"/>
      <c r="S39" s="29"/>
      <c r="T39" s="32"/>
      <c r="U39" s="31"/>
      <c r="V39" s="33"/>
      <c r="W39" s="32"/>
      <c r="X39" s="32"/>
      <c r="Y39" s="32"/>
      <c r="Z39" s="29"/>
    </row>
    <row r="40" spans="1:26" ht="30" customHeight="1">
      <c r="A40" s="18"/>
      <c r="B40" s="18"/>
      <c r="C40" s="18"/>
      <c r="D40" s="20"/>
      <c r="E40" s="20"/>
      <c r="F40" s="36"/>
      <c r="G40" s="20"/>
      <c r="H40" s="20"/>
      <c r="I40" s="18"/>
      <c r="J40" s="20"/>
      <c r="K40" s="20"/>
      <c r="L40" s="18"/>
      <c r="M40" s="20"/>
      <c r="N40" s="20"/>
      <c r="O40" s="18"/>
      <c r="P40" s="18"/>
      <c r="Q40" s="32"/>
      <c r="R40" s="32"/>
      <c r="S40" s="29"/>
      <c r="T40" s="32"/>
      <c r="U40" s="31"/>
      <c r="V40" s="33"/>
      <c r="W40" s="32"/>
      <c r="X40" s="32"/>
      <c r="Y40" s="32"/>
      <c r="Z40" s="29"/>
    </row>
    <row r="41" spans="1:26" ht="30" customHeight="1">
      <c r="A41" s="18"/>
      <c r="B41" s="18"/>
      <c r="C41" s="18"/>
      <c r="D41" s="20"/>
      <c r="E41" s="20"/>
      <c r="F41" s="36"/>
      <c r="G41" s="20"/>
      <c r="H41" s="20"/>
      <c r="I41" s="18"/>
      <c r="J41" s="20"/>
      <c r="K41" s="20"/>
      <c r="L41" s="18"/>
      <c r="M41" s="20"/>
      <c r="N41" s="20"/>
      <c r="O41" s="18"/>
      <c r="P41" s="18"/>
      <c r="Q41" s="32"/>
      <c r="R41" s="32"/>
      <c r="S41" s="29"/>
      <c r="T41" s="32"/>
      <c r="U41" s="31"/>
      <c r="V41" s="33"/>
      <c r="W41" s="32"/>
      <c r="X41" s="32"/>
      <c r="Y41" s="32"/>
      <c r="Z41" s="29"/>
    </row>
    <row r="42" spans="1:26" ht="30" customHeight="1">
      <c r="A42" s="18"/>
      <c r="B42" s="18"/>
      <c r="C42" s="18"/>
      <c r="D42" s="20"/>
      <c r="E42" s="20"/>
      <c r="F42" s="36"/>
      <c r="G42" s="20"/>
      <c r="H42" s="20"/>
      <c r="I42" s="18"/>
      <c r="J42" s="20"/>
      <c r="K42" s="20"/>
      <c r="L42" s="18"/>
      <c r="M42" s="20"/>
      <c r="N42" s="20"/>
      <c r="O42" s="18"/>
      <c r="P42" s="18"/>
      <c r="Q42" s="32"/>
      <c r="R42" s="32"/>
      <c r="S42" s="29"/>
      <c r="T42" s="32"/>
      <c r="U42" s="31"/>
      <c r="V42" s="33"/>
      <c r="W42" s="32"/>
      <c r="X42" s="32"/>
      <c r="Y42" s="32"/>
      <c r="Z42" s="29"/>
    </row>
    <row r="43" spans="1:26" ht="30" customHeight="1">
      <c r="A43" s="18"/>
      <c r="B43" s="18"/>
      <c r="C43" s="18"/>
      <c r="D43" s="20"/>
      <c r="E43" s="20"/>
      <c r="F43" s="36"/>
      <c r="G43" s="20"/>
      <c r="H43" s="20"/>
      <c r="I43" s="18"/>
      <c r="J43" s="20"/>
      <c r="K43" s="20"/>
      <c r="L43" s="18"/>
      <c r="M43" s="20"/>
      <c r="N43" s="20"/>
      <c r="O43" s="18"/>
      <c r="P43" s="18"/>
      <c r="Q43" s="32"/>
      <c r="R43" s="32"/>
      <c r="S43" s="29"/>
      <c r="T43" s="32"/>
      <c r="U43" s="31"/>
      <c r="V43" s="33"/>
      <c r="W43" s="32"/>
      <c r="X43" s="32"/>
      <c r="Y43" s="32"/>
      <c r="Z43" s="29"/>
    </row>
    <row r="44" spans="1:26" ht="30" customHeight="1">
      <c r="A44" s="18"/>
      <c r="B44" s="18"/>
      <c r="C44" s="18"/>
      <c r="D44" s="20"/>
      <c r="E44" s="20"/>
      <c r="F44" s="36"/>
      <c r="G44" s="20"/>
      <c r="H44" s="20"/>
      <c r="I44" s="18"/>
      <c r="J44" s="20"/>
      <c r="K44" s="20"/>
      <c r="L44" s="18"/>
      <c r="M44" s="20"/>
      <c r="N44" s="20"/>
      <c r="O44" s="18"/>
      <c r="P44" s="18"/>
      <c r="Q44" s="32"/>
      <c r="R44" s="32"/>
      <c r="S44" s="29"/>
      <c r="T44" s="32"/>
      <c r="U44" s="31"/>
      <c r="V44" s="33"/>
      <c r="W44" s="32"/>
      <c r="X44" s="32"/>
      <c r="Y44" s="32"/>
      <c r="Z44" s="29"/>
    </row>
    <row r="45" spans="1:26" ht="30" customHeight="1">
      <c r="A45" s="18"/>
      <c r="B45" s="18"/>
      <c r="C45" s="18"/>
      <c r="D45" s="20"/>
      <c r="E45" s="20"/>
      <c r="F45" s="36"/>
      <c r="G45" s="20"/>
      <c r="H45" s="20"/>
      <c r="I45" s="18"/>
      <c r="J45" s="20"/>
      <c r="K45" s="20"/>
      <c r="L45" s="18"/>
      <c r="M45" s="20"/>
      <c r="N45" s="20"/>
      <c r="O45" s="18"/>
      <c r="P45" s="18"/>
      <c r="Q45" s="32"/>
      <c r="R45" s="32"/>
      <c r="S45" s="29"/>
      <c r="T45" s="32"/>
      <c r="U45" s="31"/>
      <c r="V45" s="33"/>
      <c r="W45" s="32"/>
      <c r="X45" s="32"/>
      <c r="Y45" s="32"/>
      <c r="Z45" s="29"/>
    </row>
    <row r="46" spans="1:26" ht="30" customHeight="1">
      <c r="A46" s="18"/>
      <c r="B46" s="18"/>
      <c r="C46" s="18"/>
      <c r="D46" s="20"/>
      <c r="E46" s="20"/>
      <c r="F46" s="36"/>
      <c r="G46" s="20"/>
      <c r="H46" s="20"/>
      <c r="I46" s="18"/>
      <c r="J46" s="20"/>
      <c r="K46" s="20"/>
      <c r="L46" s="18"/>
      <c r="M46" s="20"/>
      <c r="N46" s="20"/>
      <c r="O46" s="18"/>
      <c r="P46" s="18"/>
      <c r="Q46" s="32"/>
      <c r="R46" s="32"/>
      <c r="S46" s="29"/>
      <c r="T46" s="32"/>
      <c r="U46" s="31"/>
      <c r="V46" s="33"/>
      <c r="W46" s="32"/>
      <c r="X46" s="32"/>
      <c r="Y46" s="32"/>
      <c r="Z46" s="29"/>
    </row>
    <row r="47" spans="1:26" ht="30" customHeight="1">
      <c r="A47" s="18"/>
      <c r="B47" s="18"/>
      <c r="C47" s="18"/>
      <c r="D47" s="20"/>
      <c r="E47" s="20"/>
      <c r="F47" s="36"/>
      <c r="G47" s="20"/>
      <c r="H47" s="20"/>
      <c r="I47" s="18"/>
      <c r="J47" s="20"/>
      <c r="K47" s="20"/>
      <c r="L47" s="18"/>
      <c r="M47" s="20"/>
      <c r="N47" s="20"/>
      <c r="O47" s="18"/>
      <c r="P47" s="18"/>
      <c r="Q47" s="32"/>
      <c r="R47" s="32"/>
      <c r="S47" s="29"/>
      <c r="T47" s="32"/>
      <c r="U47" s="31"/>
      <c r="V47" s="33"/>
      <c r="W47" s="32"/>
      <c r="X47" s="32"/>
      <c r="Y47" s="32"/>
      <c r="Z47" s="29"/>
    </row>
    <row r="48" spans="1:26" ht="30" customHeight="1">
      <c r="A48" s="18"/>
      <c r="B48" s="18"/>
      <c r="C48" s="18"/>
      <c r="D48" s="20"/>
      <c r="E48" s="20"/>
      <c r="F48" s="36"/>
      <c r="G48" s="20"/>
      <c r="H48" s="20"/>
      <c r="I48" s="18"/>
      <c r="J48" s="20"/>
      <c r="K48" s="20"/>
      <c r="L48" s="18"/>
      <c r="M48" s="20"/>
      <c r="N48" s="20"/>
      <c r="O48" s="18"/>
      <c r="P48" s="18"/>
      <c r="Q48" s="32"/>
      <c r="R48" s="32"/>
      <c r="S48" s="29"/>
      <c r="T48" s="32"/>
      <c r="U48" s="31"/>
      <c r="V48" s="33"/>
      <c r="W48" s="32"/>
      <c r="X48" s="32"/>
      <c r="Y48" s="32"/>
      <c r="Z48" s="29"/>
    </row>
    <row r="49" spans="1:26" ht="30" customHeight="1">
      <c r="A49" s="18"/>
      <c r="B49" s="18"/>
      <c r="C49" s="18"/>
      <c r="D49" s="20"/>
      <c r="E49" s="20"/>
      <c r="F49" s="36"/>
      <c r="G49" s="20"/>
      <c r="H49" s="20"/>
      <c r="I49" s="18"/>
      <c r="J49" s="20"/>
      <c r="K49" s="20"/>
      <c r="L49" s="18"/>
      <c r="M49" s="20"/>
      <c r="N49" s="20"/>
      <c r="O49" s="18"/>
      <c r="P49" s="18"/>
      <c r="Q49" s="32"/>
      <c r="R49" s="32"/>
      <c r="S49" s="29"/>
      <c r="T49" s="32"/>
      <c r="U49" s="31"/>
      <c r="V49" s="33"/>
      <c r="W49" s="32"/>
      <c r="X49" s="32"/>
      <c r="Y49" s="32"/>
      <c r="Z49" s="29"/>
    </row>
    <row r="50" spans="1:26" ht="30" customHeight="1">
      <c r="A50" s="18"/>
      <c r="B50" s="18"/>
      <c r="C50" s="18"/>
      <c r="D50" s="20"/>
      <c r="E50" s="20"/>
      <c r="F50" s="36"/>
      <c r="G50" s="20"/>
      <c r="H50" s="20"/>
      <c r="I50" s="18"/>
      <c r="J50" s="20"/>
      <c r="K50" s="20"/>
      <c r="L50" s="18"/>
      <c r="M50" s="20"/>
      <c r="N50" s="20"/>
      <c r="O50" s="18"/>
      <c r="P50" s="18"/>
      <c r="Q50" s="32"/>
      <c r="R50" s="32"/>
      <c r="S50" s="29"/>
      <c r="T50" s="32"/>
      <c r="U50" s="31"/>
      <c r="V50" s="33"/>
      <c r="W50" s="32"/>
      <c r="X50" s="32"/>
      <c r="Y50" s="32"/>
      <c r="Z50" s="29"/>
    </row>
    <row r="51" spans="1:26" ht="30" customHeight="1">
      <c r="A51" s="18"/>
      <c r="B51" s="18"/>
      <c r="C51" s="18"/>
      <c r="D51" s="20"/>
      <c r="E51" s="20"/>
      <c r="F51" s="36"/>
      <c r="G51" s="20"/>
      <c r="H51" s="20"/>
      <c r="I51" s="18"/>
      <c r="J51" s="20"/>
      <c r="K51" s="20"/>
      <c r="L51" s="18"/>
      <c r="M51" s="20"/>
      <c r="N51" s="20"/>
      <c r="O51" s="18"/>
      <c r="P51" s="18"/>
      <c r="Q51" s="32"/>
      <c r="R51" s="32"/>
      <c r="S51" s="29"/>
      <c r="T51" s="32"/>
      <c r="U51" s="31"/>
      <c r="V51" s="33"/>
      <c r="W51" s="32"/>
      <c r="X51" s="32"/>
      <c r="Y51" s="32"/>
      <c r="Z51" s="29"/>
    </row>
    <row r="52" spans="1:26" ht="30" customHeight="1">
      <c r="A52" s="18"/>
      <c r="B52" s="18"/>
      <c r="C52" s="18"/>
      <c r="D52" s="20"/>
      <c r="E52" s="20"/>
      <c r="F52" s="36"/>
      <c r="G52" s="20"/>
      <c r="H52" s="20"/>
      <c r="I52" s="18"/>
      <c r="J52" s="20"/>
      <c r="K52" s="20"/>
      <c r="L52" s="18"/>
      <c r="M52" s="20"/>
      <c r="N52" s="20"/>
      <c r="O52" s="18"/>
      <c r="P52" s="18"/>
      <c r="Q52" s="32"/>
      <c r="R52" s="32"/>
      <c r="S52" s="29"/>
      <c r="T52" s="32"/>
      <c r="U52" s="31"/>
      <c r="V52" s="33"/>
      <c r="W52" s="32"/>
      <c r="X52" s="32"/>
      <c r="Y52" s="32"/>
      <c r="Z52" s="29"/>
    </row>
    <row r="53" spans="1:26" ht="30" customHeight="1">
      <c r="A53" s="18"/>
      <c r="B53" s="18"/>
      <c r="C53" s="18"/>
      <c r="D53" s="20"/>
      <c r="E53" s="20"/>
      <c r="F53" s="36"/>
      <c r="G53" s="20"/>
      <c r="H53" s="20"/>
      <c r="I53" s="18"/>
      <c r="J53" s="20"/>
      <c r="K53" s="20"/>
      <c r="L53" s="18"/>
      <c r="M53" s="20"/>
      <c r="N53" s="20"/>
      <c r="O53" s="18"/>
      <c r="P53" s="18"/>
      <c r="Q53" s="32"/>
      <c r="R53" s="32"/>
      <c r="S53" s="29"/>
      <c r="T53" s="32"/>
      <c r="U53" s="31"/>
      <c r="V53" s="33"/>
      <c r="W53" s="32"/>
      <c r="X53" s="32"/>
      <c r="Y53" s="32"/>
      <c r="Z53" s="29"/>
    </row>
    <row r="54" spans="1:26" ht="30" customHeight="1">
      <c r="A54" s="18"/>
      <c r="B54" s="18"/>
      <c r="C54" s="18"/>
      <c r="D54" s="20"/>
      <c r="E54" s="20"/>
      <c r="F54" s="36"/>
      <c r="G54" s="20"/>
      <c r="H54" s="20"/>
      <c r="I54" s="18"/>
      <c r="J54" s="20"/>
      <c r="K54" s="20"/>
      <c r="L54" s="18"/>
      <c r="M54" s="20"/>
      <c r="N54" s="20"/>
      <c r="O54" s="18"/>
      <c r="P54" s="18"/>
      <c r="Q54" s="32"/>
      <c r="R54" s="32"/>
      <c r="S54" s="29"/>
      <c r="T54" s="32"/>
      <c r="U54" s="31"/>
      <c r="V54" s="33"/>
      <c r="W54" s="32"/>
      <c r="X54" s="32"/>
      <c r="Y54" s="32"/>
      <c r="Z54" s="29"/>
    </row>
    <row r="55" spans="1:26" ht="30" customHeight="1">
      <c r="A55" s="18"/>
      <c r="B55" s="18"/>
      <c r="C55" s="18"/>
      <c r="D55" s="20"/>
      <c r="E55" s="20"/>
      <c r="F55" s="36"/>
      <c r="G55" s="20"/>
      <c r="H55" s="20"/>
      <c r="I55" s="18"/>
      <c r="J55" s="20"/>
      <c r="K55" s="20"/>
      <c r="L55" s="18"/>
      <c r="M55" s="20"/>
      <c r="N55" s="20"/>
      <c r="O55" s="18"/>
      <c r="P55" s="18"/>
      <c r="Q55" s="32"/>
      <c r="R55" s="32"/>
      <c r="S55" s="29"/>
      <c r="T55" s="32"/>
      <c r="U55" s="31"/>
      <c r="V55" s="33"/>
      <c r="W55" s="32"/>
      <c r="X55" s="32"/>
      <c r="Y55" s="32"/>
      <c r="Z55" s="29"/>
    </row>
    <row r="56" spans="1:26" ht="30" customHeight="1">
      <c r="A56" s="18"/>
      <c r="B56" s="18"/>
      <c r="C56" s="18"/>
      <c r="D56" s="20"/>
      <c r="E56" s="20"/>
      <c r="F56" s="36"/>
      <c r="G56" s="20"/>
      <c r="H56" s="20"/>
      <c r="I56" s="18"/>
      <c r="J56" s="20"/>
      <c r="K56" s="20"/>
      <c r="L56" s="18"/>
      <c r="M56" s="20"/>
      <c r="N56" s="20"/>
      <c r="O56" s="18"/>
      <c r="P56" s="18"/>
      <c r="Q56" s="32"/>
      <c r="R56" s="32"/>
      <c r="S56" s="29"/>
      <c r="T56" s="32"/>
      <c r="U56" s="31"/>
      <c r="V56" s="33"/>
      <c r="W56" s="32"/>
      <c r="X56" s="32"/>
      <c r="Y56" s="32"/>
      <c r="Z56" s="29"/>
    </row>
    <row r="57" spans="1:26" ht="30" customHeight="1">
      <c r="A57" s="18"/>
      <c r="B57" s="18"/>
      <c r="C57" s="18"/>
      <c r="D57" s="20"/>
      <c r="E57" s="20"/>
      <c r="F57" s="36"/>
      <c r="G57" s="20"/>
      <c r="H57" s="20"/>
      <c r="I57" s="18"/>
      <c r="J57" s="20"/>
      <c r="K57" s="20"/>
      <c r="L57" s="18"/>
      <c r="M57" s="20"/>
      <c r="N57" s="20"/>
      <c r="O57" s="18"/>
      <c r="P57" s="18"/>
      <c r="Q57" s="32"/>
      <c r="R57" s="32"/>
      <c r="S57" s="29"/>
      <c r="T57" s="32"/>
      <c r="U57" s="31"/>
      <c r="V57" s="33"/>
      <c r="W57" s="32"/>
      <c r="X57" s="32"/>
      <c r="Y57" s="32"/>
      <c r="Z57" s="29"/>
    </row>
    <row r="58" spans="1:26" ht="30" customHeight="1">
      <c r="A58" s="18"/>
      <c r="B58" s="18"/>
      <c r="C58" s="18"/>
      <c r="D58" s="20"/>
      <c r="E58" s="20"/>
      <c r="F58" s="36"/>
      <c r="G58" s="20"/>
      <c r="H58" s="20"/>
      <c r="I58" s="18"/>
      <c r="J58" s="20"/>
      <c r="K58" s="20"/>
      <c r="L58" s="18"/>
      <c r="M58" s="20"/>
      <c r="N58" s="20"/>
      <c r="O58" s="18"/>
      <c r="P58" s="18"/>
      <c r="Q58" s="32"/>
      <c r="R58" s="32"/>
      <c r="S58" s="29"/>
      <c r="T58" s="32"/>
      <c r="U58" s="31"/>
      <c r="V58" s="33"/>
      <c r="W58" s="32"/>
      <c r="X58" s="32"/>
      <c r="Y58" s="32"/>
      <c r="Z58" s="29"/>
    </row>
    <row r="59" spans="1:26" ht="30" customHeight="1">
      <c r="A59" s="18"/>
      <c r="B59" s="18"/>
      <c r="C59" s="18"/>
      <c r="D59" s="20"/>
      <c r="E59" s="20"/>
      <c r="F59" s="36"/>
      <c r="G59" s="20"/>
      <c r="H59" s="20"/>
      <c r="I59" s="18"/>
      <c r="J59" s="20"/>
      <c r="K59" s="20"/>
      <c r="L59" s="18"/>
      <c r="M59" s="20"/>
      <c r="N59" s="20"/>
      <c r="O59" s="18"/>
      <c r="P59" s="18"/>
      <c r="Q59" s="32"/>
      <c r="R59" s="32"/>
      <c r="S59" s="29"/>
      <c r="T59" s="32"/>
      <c r="U59" s="31"/>
      <c r="V59" s="33"/>
      <c r="W59" s="32"/>
      <c r="X59" s="32"/>
      <c r="Y59" s="32"/>
      <c r="Z59" s="29"/>
    </row>
    <row r="60" spans="1:26" ht="30" customHeight="1">
      <c r="A60" s="18"/>
      <c r="B60" s="18"/>
      <c r="C60" s="18"/>
      <c r="D60" s="20"/>
      <c r="E60" s="20"/>
      <c r="F60" s="36"/>
      <c r="G60" s="20"/>
      <c r="H60" s="20"/>
      <c r="I60" s="18"/>
      <c r="J60" s="20"/>
      <c r="K60" s="20"/>
      <c r="L60" s="18"/>
      <c r="M60" s="20"/>
      <c r="N60" s="20"/>
      <c r="O60" s="18"/>
      <c r="P60" s="18"/>
      <c r="Q60" s="32"/>
      <c r="R60" s="32"/>
      <c r="S60" s="29"/>
      <c r="T60" s="32"/>
      <c r="U60" s="31"/>
      <c r="V60" s="33"/>
      <c r="W60" s="32"/>
      <c r="X60" s="32"/>
      <c r="Y60" s="32"/>
      <c r="Z60" s="29"/>
    </row>
    <row r="61" spans="1:26" ht="30" customHeight="1">
      <c r="A61" s="18"/>
      <c r="B61" s="18"/>
      <c r="C61" s="18"/>
      <c r="D61" s="20"/>
      <c r="E61" s="20"/>
      <c r="F61" s="36"/>
      <c r="G61" s="20"/>
      <c r="H61" s="20"/>
      <c r="I61" s="18"/>
      <c r="J61" s="20"/>
      <c r="K61" s="20"/>
      <c r="L61" s="18"/>
      <c r="M61" s="20"/>
      <c r="N61" s="20"/>
      <c r="O61" s="18"/>
      <c r="P61" s="18"/>
      <c r="Q61" s="32"/>
      <c r="R61" s="32"/>
      <c r="S61" s="29"/>
      <c r="T61" s="32"/>
      <c r="U61" s="31"/>
      <c r="V61" s="33"/>
      <c r="W61" s="32"/>
      <c r="X61" s="32"/>
      <c r="Y61" s="32"/>
      <c r="Z61" s="29"/>
    </row>
    <row r="62" spans="1:26" ht="30" customHeight="1">
      <c r="A62" s="18"/>
      <c r="B62" s="18"/>
      <c r="C62" s="18"/>
      <c r="D62" s="20"/>
      <c r="E62" s="20"/>
      <c r="F62" s="36"/>
      <c r="G62" s="20"/>
      <c r="H62" s="20"/>
      <c r="I62" s="18"/>
      <c r="J62" s="20"/>
      <c r="K62" s="20"/>
      <c r="L62" s="18"/>
      <c r="M62" s="20"/>
      <c r="N62" s="20"/>
      <c r="O62" s="18"/>
      <c r="P62" s="18"/>
      <c r="Q62" s="32"/>
      <c r="R62" s="32"/>
      <c r="S62" s="29"/>
      <c r="T62" s="32"/>
      <c r="U62" s="31"/>
      <c r="V62" s="33"/>
      <c r="W62" s="32"/>
      <c r="X62" s="32"/>
      <c r="Y62" s="32"/>
      <c r="Z62" s="29"/>
    </row>
    <row r="63" spans="1:26" ht="30" customHeight="1">
      <c r="A63" s="18"/>
      <c r="B63" s="18"/>
      <c r="C63" s="18"/>
      <c r="D63" s="20"/>
      <c r="E63" s="20"/>
      <c r="F63" s="36"/>
      <c r="G63" s="20"/>
      <c r="H63" s="20"/>
      <c r="I63" s="18"/>
      <c r="J63" s="20"/>
      <c r="K63" s="20"/>
      <c r="L63" s="18"/>
      <c r="M63" s="20"/>
      <c r="N63" s="20"/>
      <c r="O63" s="18"/>
      <c r="P63" s="18"/>
      <c r="Q63" s="32"/>
      <c r="R63" s="32"/>
      <c r="S63" s="29"/>
      <c r="T63" s="32"/>
      <c r="U63" s="31"/>
      <c r="V63" s="33"/>
      <c r="W63" s="32"/>
      <c r="X63" s="32"/>
      <c r="Y63" s="32"/>
      <c r="Z63" s="29"/>
    </row>
    <row r="64" spans="1:26" ht="30" customHeight="1">
      <c r="A64" s="18"/>
      <c r="B64" s="18"/>
      <c r="C64" s="18"/>
      <c r="D64" s="20"/>
      <c r="E64" s="20"/>
      <c r="F64" s="36"/>
      <c r="G64" s="20"/>
      <c r="H64" s="20"/>
      <c r="I64" s="18"/>
      <c r="J64" s="20"/>
      <c r="K64" s="20"/>
      <c r="L64" s="18"/>
      <c r="M64" s="20"/>
      <c r="N64" s="20"/>
      <c r="O64" s="18"/>
      <c r="P64" s="18"/>
      <c r="Q64" s="32"/>
      <c r="R64" s="32"/>
      <c r="S64" s="29"/>
      <c r="T64" s="32"/>
      <c r="U64" s="31"/>
      <c r="V64" s="33"/>
      <c r="W64" s="32"/>
      <c r="X64" s="32"/>
      <c r="Y64" s="32"/>
      <c r="Z64" s="29"/>
    </row>
    <row r="65" spans="1:26" ht="30" customHeight="1">
      <c r="A65" s="18"/>
      <c r="B65" s="18"/>
      <c r="C65" s="18"/>
      <c r="D65" s="20"/>
      <c r="E65" s="20"/>
      <c r="F65" s="36"/>
      <c r="G65" s="20"/>
      <c r="H65" s="20"/>
      <c r="I65" s="18"/>
      <c r="J65" s="20"/>
      <c r="K65" s="20"/>
      <c r="L65" s="18"/>
      <c r="M65" s="20"/>
      <c r="N65" s="20"/>
      <c r="O65" s="18"/>
      <c r="P65" s="18"/>
      <c r="Q65" s="32"/>
      <c r="R65" s="32"/>
      <c r="S65" s="29"/>
      <c r="T65" s="32"/>
      <c r="U65" s="31"/>
      <c r="V65" s="33"/>
      <c r="W65" s="32"/>
      <c r="X65" s="32"/>
      <c r="Y65" s="32"/>
      <c r="Z65" s="29"/>
    </row>
    <row r="66" spans="1:26" ht="30" customHeight="1">
      <c r="A66" s="18"/>
      <c r="B66" s="18"/>
      <c r="C66" s="18"/>
      <c r="D66" s="20"/>
      <c r="E66" s="20"/>
      <c r="F66" s="36"/>
      <c r="G66" s="20"/>
      <c r="H66" s="20"/>
      <c r="I66" s="18"/>
      <c r="J66" s="20"/>
      <c r="K66" s="20"/>
      <c r="L66" s="18"/>
      <c r="M66" s="20"/>
      <c r="N66" s="20"/>
      <c r="O66" s="18"/>
      <c r="P66" s="18"/>
      <c r="Q66" s="32"/>
      <c r="R66" s="32"/>
      <c r="S66" s="29"/>
      <c r="T66" s="32"/>
      <c r="U66" s="31"/>
      <c r="V66" s="33"/>
      <c r="W66" s="32"/>
      <c r="X66" s="32"/>
      <c r="Y66" s="32"/>
      <c r="Z66" s="29"/>
    </row>
    <row r="67" spans="1:26" ht="30" customHeight="1">
      <c r="A67" s="18"/>
      <c r="B67" s="18"/>
      <c r="C67" s="18"/>
      <c r="D67" s="20"/>
      <c r="E67" s="20"/>
      <c r="F67" s="36"/>
      <c r="G67" s="20"/>
      <c r="H67" s="20"/>
      <c r="I67" s="18"/>
      <c r="J67" s="20"/>
      <c r="K67" s="20"/>
      <c r="L67" s="18"/>
      <c r="M67" s="20"/>
      <c r="N67" s="20"/>
      <c r="O67" s="18"/>
      <c r="P67" s="18"/>
      <c r="Q67" s="32"/>
      <c r="R67" s="32"/>
      <c r="S67" s="29"/>
      <c r="T67" s="32"/>
      <c r="U67" s="31"/>
      <c r="V67" s="33"/>
      <c r="W67" s="32"/>
      <c r="X67" s="32"/>
      <c r="Y67" s="32"/>
      <c r="Z67" s="29"/>
    </row>
    <row r="68" spans="1:26" ht="30" customHeight="1">
      <c r="A68" s="18"/>
      <c r="B68" s="18"/>
      <c r="C68" s="18"/>
      <c r="D68" s="20"/>
      <c r="E68" s="20"/>
      <c r="F68" s="36"/>
      <c r="G68" s="20"/>
      <c r="H68" s="20"/>
      <c r="I68" s="18"/>
      <c r="J68" s="20"/>
      <c r="K68" s="20"/>
      <c r="L68" s="18"/>
      <c r="M68" s="20"/>
      <c r="N68" s="20"/>
      <c r="O68" s="18"/>
      <c r="P68" s="18"/>
      <c r="Q68" s="32"/>
      <c r="R68" s="32"/>
      <c r="S68" s="29"/>
      <c r="T68" s="32"/>
      <c r="U68" s="31"/>
      <c r="V68" s="33"/>
      <c r="W68" s="32"/>
      <c r="X68" s="32"/>
      <c r="Y68" s="32"/>
      <c r="Z68" s="29"/>
    </row>
    <row r="69" spans="1:26" ht="30" customHeight="1">
      <c r="A69" s="18"/>
      <c r="B69" s="18"/>
      <c r="C69" s="18"/>
      <c r="D69" s="20"/>
      <c r="E69" s="20"/>
      <c r="F69" s="36"/>
      <c r="G69" s="20"/>
      <c r="H69" s="20"/>
      <c r="I69" s="18"/>
      <c r="J69" s="20"/>
      <c r="K69" s="20"/>
      <c r="L69" s="18"/>
      <c r="M69" s="20"/>
      <c r="N69" s="20"/>
      <c r="O69" s="18"/>
      <c r="P69" s="18"/>
      <c r="Q69" s="32"/>
      <c r="R69" s="32"/>
      <c r="S69" s="29"/>
      <c r="T69" s="32"/>
      <c r="U69" s="31"/>
      <c r="V69" s="33"/>
      <c r="W69" s="32"/>
      <c r="X69" s="32"/>
      <c r="Y69" s="32"/>
      <c r="Z69" s="29"/>
    </row>
    <row r="70" spans="1:26" ht="30" customHeight="1">
      <c r="A70" s="18"/>
      <c r="B70" s="18"/>
      <c r="C70" s="18"/>
      <c r="D70" s="20"/>
      <c r="E70" s="20"/>
      <c r="F70" s="36"/>
      <c r="G70" s="20"/>
      <c r="H70" s="20"/>
      <c r="I70" s="18"/>
      <c r="J70" s="20"/>
      <c r="K70" s="20"/>
      <c r="L70" s="18"/>
      <c r="M70" s="20"/>
      <c r="N70" s="20"/>
      <c r="O70" s="18"/>
      <c r="P70" s="18"/>
      <c r="Q70" s="32"/>
      <c r="R70" s="32"/>
      <c r="S70" s="29"/>
      <c r="T70" s="32"/>
      <c r="U70" s="31"/>
      <c r="V70" s="33"/>
      <c r="W70" s="32"/>
      <c r="X70" s="32"/>
      <c r="Y70" s="32"/>
      <c r="Z70" s="29"/>
    </row>
    <row r="71" spans="1:26" ht="30" customHeight="1">
      <c r="A71" s="18"/>
      <c r="B71" s="18"/>
      <c r="C71" s="18"/>
      <c r="D71" s="20"/>
      <c r="E71" s="20"/>
      <c r="F71" s="36"/>
      <c r="G71" s="20"/>
      <c r="H71" s="20"/>
      <c r="I71" s="18"/>
      <c r="J71" s="20"/>
      <c r="K71" s="20"/>
      <c r="L71" s="18"/>
      <c r="M71" s="20"/>
      <c r="N71" s="20"/>
      <c r="O71" s="18"/>
      <c r="P71" s="18"/>
      <c r="Q71" s="32"/>
      <c r="R71" s="32"/>
      <c r="S71" s="29"/>
      <c r="T71" s="32"/>
      <c r="U71" s="31"/>
      <c r="V71" s="33"/>
      <c r="W71" s="32"/>
      <c r="X71" s="32"/>
      <c r="Y71" s="32"/>
      <c r="Z71" s="29"/>
    </row>
    <row r="72" spans="1:26" ht="30" customHeight="1">
      <c r="A72" s="18"/>
      <c r="B72" s="18"/>
      <c r="C72" s="18"/>
      <c r="D72" s="20"/>
      <c r="E72" s="20"/>
      <c r="F72" s="36"/>
      <c r="G72" s="20"/>
      <c r="H72" s="20"/>
      <c r="I72" s="18"/>
      <c r="J72" s="20"/>
      <c r="K72" s="20"/>
      <c r="L72" s="18"/>
      <c r="M72" s="20"/>
      <c r="N72" s="20"/>
      <c r="O72" s="18"/>
      <c r="P72" s="18"/>
      <c r="Q72" s="32"/>
      <c r="R72" s="32"/>
      <c r="S72" s="29"/>
      <c r="T72" s="32"/>
      <c r="U72" s="31"/>
      <c r="V72" s="33"/>
      <c r="W72" s="32"/>
      <c r="X72" s="32"/>
      <c r="Y72" s="32"/>
      <c r="Z72" s="29"/>
    </row>
    <row r="73" spans="1:26" ht="30" customHeight="1">
      <c r="A73" s="18"/>
      <c r="B73" s="18"/>
      <c r="C73" s="18"/>
      <c r="D73" s="20"/>
      <c r="E73" s="20"/>
      <c r="F73" s="36"/>
      <c r="G73" s="20"/>
      <c r="H73" s="20"/>
      <c r="I73" s="18"/>
      <c r="J73" s="20"/>
      <c r="K73" s="20"/>
      <c r="L73" s="18"/>
      <c r="M73" s="20"/>
      <c r="N73" s="20"/>
      <c r="O73" s="18"/>
      <c r="P73" s="18"/>
      <c r="Q73" s="32"/>
      <c r="R73" s="32"/>
      <c r="S73" s="29"/>
      <c r="T73" s="32"/>
      <c r="U73" s="31"/>
      <c r="V73" s="33"/>
      <c r="W73" s="32"/>
      <c r="X73" s="32"/>
      <c r="Y73" s="32"/>
      <c r="Z73" s="29"/>
    </row>
    <row r="74" spans="1:26" ht="30" customHeight="1">
      <c r="A74" s="18"/>
      <c r="B74" s="18"/>
      <c r="C74" s="18"/>
      <c r="D74" s="20"/>
      <c r="E74" s="20"/>
      <c r="F74" s="36"/>
      <c r="G74" s="20"/>
      <c r="H74" s="20"/>
      <c r="I74" s="18"/>
      <c r="J74" s="20"/>
      <c r="K74" s="20"/>
      <c r="L74" s="18"/>
      <c r="M74" s="20"/>
      <c r="N74" s="20"/>
      <c r="O74" s="18"/>
      <c r="P74" s="18"/>
      <c r="Q74" s="32"/>
      <c r="R74" s="32"/>
      <c r="S74" s="29"/>
      <c r="T74" s="32"/>
      <c r="U74" s="31"/>
      <c r="V74" s="33"/>
      <c r="W74" s="32"/>
      <c r="X74" s="32"/>
      <c r="Y74" s="32"/>
      <c r="Z74" s="29"/>
    </row>
    <row r="75" spans="1:26" ht="30" customHeight="1">
      <c r="A75" s="18"/>
      <c r="B75" s="18"/>
      <c r="C75" s="18"/>
      <c r="D75" s="20"/>
      <c r="E75" s="20"/>
      <c r="F75" s="36"/>
      <c r="G75" s="20"/>
      <c r="H75" s="20"/>
      <c r="I75" s="18"/>
      <c r="J75" s="20"/>
      <c r="K75" s="20"/>
      <c r="L75" s="18"/>
      <c r="M75" s="20"/>
      <c r="N75" s="20"/>
      <c r="O75" s="18"/>
      <c r="P75" s="18"/>
      <c r="Q75" s="32"/>
      <c r="R75" s="32"/>
      <c r="S75" s="29"/>
      <c r="T75" s="32"/>
      <c r="U75" s="31"/>
      <c r="V75" s="33"/>
      <c r="W75" s="32"/>
      <c r="X75" s="32"/>
      <c r="Y75" s="32"/>
      <c r="Z75" s="29"/>
    </row>
    <row r="76" spans="1:26" ht="30" customHeight="1">
      <c r="A76" s="18"/>
      <c r="B76" s="18"/>
      <c r="C76" s="18"/>
      <c r="D76" s="20"/>
      <c r="E76" s="20"/>
      <c r="F76" s="36"/>
      <c r="G76" s="20"/>
      <c r="H76" s="20"/>
      <c r="I76" s="18"/>
      <c r="J76" s="20"/>
      <c r="K76" s="20"/>
      <c r="L76" s="18"/>
      <c r="M76" s="20"/>
      <c r="N76" s="20"/>
      <c r="O76" s="18"/>
      <c r="P76" s="18"/>
      <c r="Q76" s="32"/>
      <c r="R76" s="32"/>
      <c r="S76" s="29"/>
      <c r="T76" s="32"/>
      <c r="U76" s="31"/>
      <c r="V76" s="33"/>
      <c r="W76" s="32"/>
      <c r="X76" s="32"/>
      <c r="Y76" s="32"/>
      <c r="Z76" s="29"/>
    </row>
    <row r="77" spans="1:26" ht="30" customHeight="1">
      <c r="A77" s="18"/>
      <c r="B77" s="18"/>
      <c r="C77" s="18"/>
      <c r="D77" s="20"/>
      <c r="E77" s="20"/>
      <c r="F77" s="36"/>
      <c r="G77" s="20"/>
      <c r="H77" s="20"/>
      <c r="I77" s="18"/>
      <c r="J77" s="20"/>
      <c r="K77" s="20"/>
      <c r="L77" s="18"/>
      <c r="M77" s="20"/>
      <c r="N77" s="20"/>
      <c r="O77" s="18"/>
      <c r="P77" s="18"/>
      <c r="Q77" s="32"/>
      <c r="R77" s="32"/>
      <c r="S77" s="29"/>
      <c r="T77" s="32"/>
      <c r="U77" s="31"/>
      <c r="V77" s="33"/>
      <c r="W77" s="32"/>
      <c r="X77" s="32"/>
      <c r="Y77" s="32"/>
      <c r="Z77" s="29"/>
    </row>
    <row r="78" spans="1:26" ht="30" customHeight="1">
      <c r="A78" s="18"/>
      <c r="B78" s="18"/>
      <c r="C78" s="18"/>
      <c r="D78" s="20"/>
      <c r="E78" s="20"/>
      <c r="F78" s="36"/>
      <c r="G78" s="20"/>
      <c r="H78" s="20"/>
      <c r="I78" s="18"/>
      <c r="J78" s="20"/>
      <c r="K78" s="20"/>
      <c r="L78" s="18"/>
      <c r="M78" s="20"/>
      <c r="N78" s="20"/>
      <c r="O78" s="18"/>
      <c r="P78" s="18"/>
      <c r="Q78" s="32"/>
      <c r="R78" s="32"/>
      <c r="S78" s="29"/>
      <c r="T78" s="32"/>
      <c r="U78" s="31"/>
      <c r="V78" s="33"/>
      <c r="W78" s="32"/>
      <c r="X78" s="32"/>
      <c r="Y78" s="32"/>
      <c r="Z78" s="29"/>
    </row>
    <row r="79" spans="1:26" ht="30" customHeight="1">
      <c r="A79" s="18"/>
      <c r="B79" s="18"/>
      <c r="C79" s="18"/>
      <c r="D79" s="20"/>
      <c r="E79" s="20"/>
      <c r="F79" s="36"/>
      <c r="G79" s="20"/>
      <c r="H79" s="20"/>
      <c r="I79" s="18"/>
      <c r="J79" s="20"/>
      <c r="K79" s="20"/>
      <c r="L79" s="18"/>
      <c r="M79" s="20"/>
      <c r="N79" s="20"/>
      <c r="O79" s="18"/>
      <c r="P79" s="18"/>
      <c r="Q79" s="32"/>
      <c r="R79" s="32"/>
      <c r="S79" s="29"/>
      <c r="T79" s="32"/>
      <c r="U79" s="31"/>
      <c r="V79" s="33"/>
      <c r="W79" s="32"/>
      <c r="X79" s="32"/>
      <c r="Y79" s="32"/>
      <c r="Z79" s="29"/>
    </row>
    <row r="80" spans="1:26" ht="30" customHeight="1">
      <c r="A80" s="18"/>
      <c r="B80" s="18"/>
      <c r="C80" s="18"/>
      <c r="D80" s="20"/>
      <c r="E80" s="20"/>
      <c r="F80" s="36"/>
      <c r="G80" s="20"/>
      <c r="H80" s="20"/>
      <c r="I80" s="18"/>
      <c r="J80" s="20"/>
      <c r="K80" s="20"/>
      <c r="L80" s="18"/>
      <c r="M80" s="20"/>
      <c r="N80" s="20"/>
      <c r="O80" s="18"/>
      <c r="P80" s="18"/>
      <c r="Q80" s="32"/>
      <c r="R80" s="32"/>
      <c r="S80" s="29"/>
      <c r="T80" s="32"/>
      <c r="U80" s="31"/>
      <c r="V80" s="33"/>
      <c r="W80" s="32"/>
      <c r="X80" s="32"/>
      <c r="Y80" s="32"/>
      <c r="Z80" s="29"/>
    </row>
    <row r="81" spans="1:26" ht="30" customHeight="1">
      <c r="A81" s="18"/>
      <c r="B81" s="18"/>
      <c r="C81" s="18"/>
      <c r="D81" s="20"/>
      <c r="E81" s="20"/>
      <c r="F81" s="36"/>
      <c r="G81" s="20"/>
      <c r="H81" s="20"/>
      <c r="I81" s="18"/>
      <c r="J81" s="20"/>
      <c r="K81" s="20"/>
      <c r="L81" s="18"/>
      <c r="M81" s="20"/>
      <c r="N81" s="20"/>
      <c r="O81" s="18"/>
      <c r="P81" s="18"/>
      <c r="Q81" s="32"/>
      <c r="R81" s="32"/>
      <c r="S81" s="29"/>
      <c r="T81" s="32"/>
      <c r="U81" s="31"/>
      <c r="V81" s="33"/>
      <c r="W81" s="32"/>
      <c r="X81" s="32"/>
      <c r="Y81" s="32"/>
      <c r="Z81" s="29"/>
    </row>
    <row r="82" spans="1:26" ht="30" customHeight="1">
      <c r="A82" s="18"/>
      <c r="B82" s="18"/>
      <c r="C82" s="18"/>
      <c r="D82" s="20"/>
      <c r="E82" s="20"/>
      <c r="F82" s="36"/>
      <c r="G82" s="20"/>
      <c r="H82" s="20"/>
      <c r="I82" s="18"/>
      <c r="J82" s="20"/>
      <c r="K82" s="20"/>
      <c r="L82" s="18"/>
      <c r="M82" s="20"/>
      <c r="N82" s="20"/>
      <c r="O82" s="18"/>
      <c r="P82" s="18"/>
      <c r="Q82" s="32"/>
      <c r="R82" s="32"/>
      <c r="S82" s="29"/>
      <c r="T82" s="32"/>
      <c r="U82" s="31"/>
      <c r="V82" s="33"/>
      <c r="W82" s="32"/>
      <c r="X82" s="32"/>
      <c r="Y82" s="32"/>
      <c r="Z82" s="29"/>
    </row>
    <row r="83" spans="1:26" ht="30" customHeight="1">
      <c r="A83" s="18"/>
      <c r="B83" s="18"/>
      <c r="C83" s="18"/>
      <c r="D83" s="20"/>
      <c r="E83" s="20"/>
      <c r="F83" s="36"/>
      <c r="G83" s="20"/>
      <c r="H83" s="20"/>
      <c r="I83" s="18"/>
      <c r="J83" s="20"/>
      <c r="K83" s="20"/>
      <c r="L83" s="18"/>
      <c r="M83" s="20"/>
      <c r="N83" s="20"/>
      <c r="O83" s="18"/>
      <c r="P83" s="18"/>
      <c r="Q83" s="32"/>
      <c r="R83" s="32"/>
      <c r="S83" s="29"/>
      <c r="T83" s="32"/>
      <c r="U83" s="31"/>
      <c r="V83" s="33"/>
      <c r="W83" s="32"/>
      <c r="X83" s="32"/>
      <c r="Y83" s="32"/>
      <c r="Z83" s="29"/>
    </row>
    <row r="84" spans="1:26" ht="30" customHeight="1">
      <c r="A84" s="18"/>
      <c r="B84" s="18"/>
      <c r="C84" s="18"/>
      <c r="D84" s="20"/>
      <c r="E84" s="20"/>
      <c r="F84" s="36"/>
      <c r="G84" s="20"/>
      <c r="H84" s="20"/>
      <c r="I84" s="18"/>
      <c r="J84" s="20"/>
      <c r="K84" s="20"/>
      <c r="L84" s="18"/>
      <c r="M84" s="20"/>
      <c r="N84" s="20"/>
      <c r="O84" s="18"/>
      <c r="P84" s="18"/>
      <c r="Q84" s="32"/>
      <c r="R84" s="32"/>
      <c r="S84" s="29"/>
      <c r="T84" s="32"/>
      <c r="U84" s="31"/>
      <c r="V84" s="33"/>
      <c r="W84" s="32"/>
      <c r="X84" s="32"/>
      <c r="Y84" s="32"/>
      <c r="Z84" s="29"/>
    </row>
    <row r="85" spans="1:26" ht="30" customHeight="1">
      <c r="A85" s="18"/>
      <c r="B85" s="18"/>
      <c r="C85" s="18"/>
      <c r="D85" s="20"/>
      <c r="E85" s="20"/>
      <c r="F85" s="36"/>
      <c r="G85" s="20"/>
      <c r="H85" s="20"/>
      <c r="I85" s="18"/>
      <c r="J85" s="20"/>
      <c r="K85" s="20"/>
      <c r="L85" s="18"/>
      <c r="M85" s="20"/>
      <c r="N85" s="20"/>
      <c r="O85" s="18"/>
      <c r="P85" s="18"/>
      <c r="Q85" s="32"/>
      <c r="R85" s="32"/>
      <c r="S85" s="29"/>
      <c r="T85" s="32"/>
      <c r="U85" s="31"/>
      <c r="V85" s="33"/>
      <c r="W85" s="32"/>
      <c r="X85" s="32"/>
      <c r="Y85" s="32"/>
      <c r="Z85" s="29"/>
    </row>
    <row r="86" spans="1:26" ht="30" customHeight="1">
      <c r="A86" s="18"/>
      <c r="B86" s="18"/>
      <c r="C86" s="18"/>
      <c r="D86" s="20"/>
      <c r="E86" s="20"/>
      <c r="F86" s="36"/>
      <c r="G86" s="20"/>
      <c r="H86" s="20"/>
      <c r="I86" s="18"/>
      <c r="J86" s="20"/>
      <c r="K86" s="20"/>
      <c r="L86" s="18"/>
      <c r="M86" s="20"/>
      <c r="N86" s="20"/>
      <c r="O86" s="18"/>
      <c r="P86" s="18"/>
      <c r="Q86" s="32"/>
      <c r="R86" s="32"/>
      <c r="S86" s="29"/>
      <c r="T86" s="32"/>
      <c r="U86" s="31"/>
      <c r="V86" s="33"/>
      <c r="W86" s="32"/>
      <c r="X86" s="32"/>
      <c r="Y86" s="32"/>
      <c r="Z86" s="29"/>
    </row>
    <row r="87" spans="1:26" ht="30" customHeight="1">
      <c r="A87" s="18"/>
      <c r="B87" s="18"/>
      <c r="C87" s="18"/>
      <c r="D87" s="20"/>
      <c r="E87" s="20"/>
      <c r="F87" s="36"/>
      <c r="G87" s="20"/>
      <c r="H87" s="20"/>
      <c r="I87" s="18"/>
      <c r="J87" s="20"/>
      <c r="K87" s="20"/>
      <c r="L87" s="18"/>
      <c r="M87" s="20"/>
      <c r="N87" s="20"/>
      <c r="O87" s="18"/>
      <c r="P87" s="18"/>
      <c r="Q87" s="32"/>
      <c r="R87" s="32"/>
      <c r="S87" s="29"/>
      <c r="T87" s="32"/>
      <c r="U87" s="31"/>
      <c r="V87" s="33"/>
      <c r="W87" s="32"/>
      <c r="X87" s="32"/>
      <c r="Y87" s="32"/>
      <c r="Z87" s="29"/>
    </row>
    <row r="88" spans="1:26" ht="30" customHeight="1">
      <c r="A88" s="18"/>
      <c r="B88" s="18"/>
      <c r="C88" s="18"/>
      <c r="D88" s="20"/>
      <c r="E88" s="20"/>
      <c r="F88" s="36"/>
      <c r="G88" s="20"/>
      <c r="H88" s="20"/>
      <c r="I88" s="18"/>
      <c r="J88" s="20"/>
      <c r="K88" s="20"/>
      <c r="L88" s="18"/>
      <c r="M88" s="20"/>
      <c r="N88" s="20"/>
      <c r="O88" s="18"/>
      <c r="P88" s="18"/>
      <c r="Q88" s="32"/>
      <c r="R88" s="32"/>
      <c r="S88" s="29"/>
      <c r="T88" s="32"/>
      <c r="U88" s="31"/>
      <c r="V88" s="33"/>
      <c r="W88" s="32"/>
      <c r="X88" s="32"/>
      <c r="Y88" s="32"/>
      <c r="Z88" s="29"/>
    </row>
    <row r="89" spans="1:26" ht="30" customHeight="1">
      <c r="A89" s="18"/>
      <c r="B89" s="18"/>
      <c r="C89" s="18"/>
      <c r="D89" s="20"/>
      <c r="E89" s="20"/>
      <c r="F89" s="36"/>
      <c r="G89" s="20"/>
      <c r="H89" s="20"/>
      <c r="I89" s="18"/>
      <c r="J89" s="20"/>
      <c r="K89" s="20"/>
      <c r="L89" s="18"/>
      <c r="M89" s="20"/>
      <c r="N89" s="20"/>
      <c r="O89" s="18"/>
      <c r="P89" s="18"/>
      <c r="Q89" s="32"/>
      <c r="R89" s="32"/>
      <c r="S89" s="29"/>
      <c r="T89" s="32"/>
      <c r="U89" s="31"/>
      <c r="V89" s="33"/>
      <c r="W89" s="32"/>
      <c r="X89" s="32"/>
      <c r="Y89" s="32"/>
      <c r="Z89" s="29"/>
    </row>
    <row r="90" spans="1:26" ht="30" customHeight="1">
      <c r="A90" s="18"/>
      <c r="B90" s="18"/>
      <c r="C90" s="18"/>
      <c r="D90" s="20"/>
      <c r="E90" s="20"/>
      <c r="F90" s="36"/>
      <c r="G90" s="20"/>
      <c r="H90" s="20"/>
      <c r="I90" s="18"/>
      <c r="J90" s="20"/>
      <c r="K90" s="20"/>
      <c r="L90" s="18"/>
      <c r="M90" s="20"/>
      <c r="N90" s="20"/>
      <c r="O90" s="18"/>
      <c r="P90" s="18"/>
      <c r="Q90" s="32"/>
      <c r="R90" s="32"/>
      <c r="S90" s="29"/>
      <c r="T90" s="32"/>
      <c r="U90" s="31"/>
      <c r="V90" s="33"/>
      <c r="W90" s="32"/>
      <c r="X90" s="32"/>
      <c r="Y90" s="32"/>
      <c r="Z90" s="29"/>
    </row>
    <row r="91" spans="1:26" ht="30" customHeight="1">
      <c r="A91" s="18"/>
      <c r="B91" s="18"/>
      <c r="C91" s="18"/>
      <c r="D91" s="20"/>
      <c r="E91" s="20"/>
      <c r="F91" s="36"/>
      <c r="G91" s="20"/>
      <c r="H91" s="20"/>
      <c r="I91" s="18"/>
      <c r="J91" s="20"/>
      <c r="K91" s="20"/>
      <c r="L91" s="18"/>
      <c r="M91" s="20"/>
      <c r="N91" s="20"/>
      <c r="O91" s="18"/>
      <c r="P91" s="18"/>
      <c r="Q91" s="32"/>
      <c r="R91" s="32"/>
      <c r="S91" s="29"/>
      <c r="T91" s="32"/>
      <c r="U91" s="31"/>
      <c r="V91" s="33"/>
      <c r="W91" s="32"/>
      <c r="X91" s="32"/>
      <c r="Y91" s="32"/>
      <c r="Z91" s="29"/>
    </row>
    <row r="92" spans="1:26" ht="30" customHeight="1">
      <c r="A92" s="18"/>
      <c r="B92" s="18"/>
      <c r="C92" s="18"/>
      <c r="D92" s="20"/>
      <c r="E92" s="20"/>
      <c r="F92" s="36"/>
      <c r="G92" s="20"/>
      <c r="H92" s="20"/>
      <c r="I92" s="18"/>
      <c r="J92" s="20"/>
      <c r="K92" s="20"/>
      <c r="L92" s="18"/>
      <c r="M92" s="20"/>
      <c r="N92" s="20"/>
      <c r="O92" s="18"/>
      <c r="P92" s="18"/>
      <c r="Q92" s="32"/>
      <c r="R92" s="32"/>
      <c r="S92" s="29"/>
      <c r="T92" s="32"/>
      <c r="U92" s="31"/>
      <c r="V92" s="33"/>
      <c r="W92" s="32"/>
      <c r="X92" s="32"/>
      <c r="Y92" s="32"/>
      <c r="Z92" s="29"/>
    </row>
    <row r="93" spans="1:26" ht="30" customHeight="1">
      <c r="A93" s="18"/>
      <c r="B93" s="18"/>
      <c r="C93" s="18"/>
      <c r="D93" s="20"/>
      <c r="E93" s="20"/>
      <c r="F93" s="36"/>
      <c r="G93" s="20"/>
      <c r="H93" s="20"/>
      <c r="I93" s="18"/>
      <c r="J93" s="20"/>
      <c r="K93" s="20"/>
      <c r="L93" s="18"/>
      <c r="M93" s="20"/>
      <c r="N93" s="20"/>
      <c r="O93" s="18"/>
      <c r="P93" s="18"/>
      <c r="Q93" s="32"/>
      <c r="R93" s="32"/>
      <c r="S93" s="29"/>
      <c r="T93" s="32"/>
      <c r="U93" s="31"/>
      <c r="V93" s="33"/>
      <c r="W93" s="32"/>
      <c r="X93" s="32"/>
      <c r="Y93" s="32"/>
      <c r="Z93" s="29"/>
    </row>
    <row r="94" spans="1:26" ht="30" customHeight="1">
      <c r="A94" s="18"/>
      <c r="B94" s="18"/>
      <c r="C94" s="18"/>
      <c r="D94" s="20"/>
      <c r="E94" s="20"/>
      <c r="F94" s="36"/>
      <c r="G94" s="20"/>
      <c r="H94" s="20"/>
      <c r="I94" s="18"/>
      <c r="J94" s="20"/>
      <c r="K94" s="20"/>
      <c r="L94" s="18"/>
      <c r="M94" s="20"/>
      <c r="N94" s="20"/>
      <c r="O94" s="18"/>
      <c r="P94" s="18"/>
      <c r="Q94" s="32"/>
      <c r="R94" s="32"/>
      <c r="S94" s="29"/>
      <c r="T94" s="32"/>
      <c r="U94" s="31"/>
      <c r="V94" s="33"/>
      <c r="W94" s="32"/>
      <c r="X94" s="32"/>
      <c r="Y94" s="32"/>
      <c r="Z94" s="29"/>
    </row>
    <row r="95" spans="1:26" ht="30" customHeight="1">
      <c r="A95" s="18"/>
      <c r="B95" s="18"/>
      <c r="C95" s="18"/>
      <c r="D95" s="20"/>
      <c r="E95" s="20"/>
      <c r="F95" s="36"/>
      <c r="G95" s="20"/>
      <c r="H95" s="20"/>
      <c r="I95" s="18"/>
      <c r="J95" s="20"/>
      <c r="K95" s="20"/>
      <c r="L95" s="18"/>
      <c r="M95" s="20"/>
      <c r="N95" s="20"/>
      <c r="O95" s="18"/>
      <c r="P95" s="18"/>
      <c r="Q95" s="32"/>
      <c r="R95" s="32"/>
      <c r="S95" s="29"/>
      <c r="T95" s="32"/>
      <c r="U95" s="31"/>
      <c r="V95" s="33"/>
      <c r="W95" s="32"/>
      <c r="X95" s="32"/>
      <c r="Y95" s="32"/>
      <c r="Z95" s="29"/>
    </row>
    <row r="96" spans="1:26" ht="30" customHeight="1">
      <c r="A96" s="18"/>
      <c r="B96" s="18"/>
      <c r="C96" s="18"/>
      <c r="D96" s="20"/>
      <c r="E96" s="20"/>
      <c r="F96" s="36"/>
      <c r="G96" s="20"/>
      <c r="H96" s="20"/>
      <c r="I96" s="18"/>
      <c r="J96" s="20"/>
      <c r="K96" s="20"/>
      <c r="L96" s="18"/>
      <c r="M96" s="20"/>
      <c r="N96" s="20"/>
      <c r="O96" s="18"/>
      <c r="P96" s="18"/>
      <c r="Q96" s="32"/>
      <c r="R96" s="32"/>
      <c r="S96" s="29"/>
      <c r="T96" s="32"/>
      <c r="U96" s="31"/>
      <c r="V96" s="33"/>
      <c r="W96" s="32"/>
      <c r="X96" s="32"/>
      <c r="Y96" s="32"/>
      <c r="Z96" s="29"/>
    </row>
    <row r="97" spans="1:26" ht="30" customHeight="1">
      <c r="A97" s="18"/>
      <c r="B97" s="18"/>
      <c r="C97" s="18"/>
      <c r="D97" s="20"/>
      <c r="E97" s="20"/>
      <c r="F97" s="36"/>
      <c r="G97" s="20"/>
      <c r="H97" s="20"/>
      <c r="I97" s="18"/>
      <c r="J97" s="20"/>
      <c r="K97" s="20"/>
      <c r="L97" s="18"/>
      <c r="M97" s="20"/>
      <c r="N97" s="20"/>
      <c r="O97" s="18"/>
      <c r="P97" s="18"/>
      <c r="Q97" s="32"/>
      <c r="R97" s="32"/>
      <c r="S97" s="29"/>
      <c r="T97" s="32"/>
      <c r="U97" s="31"/>
      <c r="V97" s="33"/>
      <c r="W97" s="32"/>
      <c r="X97" s="32"/>
      <c r="Y97" s="32"/>
      <c r="Z97" s="29"/>
    </row>
    <row r="98" spans="1:26" ht="30" customHeight="1">
      <c r="A98" s="18"/>
      <c r="B98" s="18"/>
      <c r="C98" s="18"/>
      <c r="D98" s="20"/>
      <c r="E98" s="20"/>
      <c r="F98" s="36"/>
      <c r="G98" s="20"/>
      <c r="H98" s="20"/>
      <c r="I98" s="18"/>
      <c r="J98" s="20"/>
      <c r="K98" s="20"/>
      <c r="L98" s="18"/>
      <c r="M98" s="20"/>
      <c r="N98" s="20"/>
      <c r="O98" s="18"/>
      <c r="P98" s="18"/>
      <c r="Q98" s="32"/>
      <c r="R98" s="32"/>
      <c r="S98" s="29"/>
      <c r="T98" s="32"/>
      <c r="U98" s="31"/>
      <c r="V98" s="33"/>
      <c r="W98" s="32"/>
      <c r="X98" s="32"/>
      <c r="Y98" s="32"/>
      <c r="Z98" s="29"/>
    </row>
    <row r="99" spans="1:26" ht="30" customHeight="1">
      <c r="A99" s="18"/>
      <c r="B99" s="18"/>
      <c r="C99" s="18"/>
      <c r="D99" s="20"/>
      <c r="E99" s="20"/>
      <c r="F99" s="36"/>
      <c r="G99" s="20"/>
      <c r="H99" s="20"/>
      <c r="I99" s="18"/>
      <c r="J99" s="20"/>
      <c r="K99" s="20"/>
      <c r="L99" s="18"/>
      <c r="M99" s="20"/>
      <c r="N99" s="20"/>
      <c r="O99" s="18"/>
      <c r="P99" s="18"/>
      <c r="Q99" s="32"/>
      <c r="R99" s="32"/>
      <c r="S99" s="29"/>
      <c r="T99" s="32"/>
      <c r="U99" s="31"/>
      <c r="V99" s="33"/>
      <c r="W99" s="32"/>
      <c r="X99" s="32"/>
      <c r="Y99" s="32"/>
      <c r="Z99" s="29"/>
    </row>
  </sheetData>
  <mergeCells count="1">
    <mergeCell ref="A1:P1"/>
  </mergeCells>
  <conditionalFormatting sqref="F3:F99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dataValidations count="12">
    <dataValidation type="list" sqref="E3:E99" xr:uid="{00000000-0002-0000-0300-000000000000}">
      <formula1>"Threat,Opportunity"</formula1>
    </dataValidation>
    <dataValidation type="decimal" sqref="F3:F99" xr:uid="{00000000-0002-0000-0300-000001000000}">
      <formula1>0</formula1>
      <formula2>1</formula2>
    </dataValidation>
    <dataValidation type="list" sqref="G3:G99" xr:uid="{00000000-0002-0000-0300-000002000000}">
      <formula1>"Local,Global"</formula1>
    </dataValidation>
    <dataValidation type="list" sqref="H3:H99" xr:uid="{00000000-0002-0000-0300-000003000000}">
      <formula1>"Duration,Cost,Both"</formula1>
    </dataValidation>
    <dataValidation type="list" sqref="K3:K99" xr:uid="{00000000-0002-0000-0300-000004000000}">
      <formula1>"Avoid,Mitigate,Transfer,Accept,Exploit,Enhance,Share"</formula1>
    </dataValidation>
    <dataValidation type="list" sqref="M3:M99" xr:uid="{00000000-0002-0000-0300-000005000000}">
      <formula1>"Open,Monitoring,Closed"</formula1>
    </dataValidation>
    <dataValidation type="list" sqref="N3:N99" xr:uid="{00000000-0002-0000-0300-000006000000}">
      <formula1>"Fixed,Triangular,Beta-PERT,Uniform,Normal,Exponential,Lognormal,Gamma"</formula1>
    </dataValidation>
    <dataValidation type="list" sqref="P3:P99" xr:uid="{00000000-0002-0000-0300-000007000000}">
      <formula1>"true,false"</formula1>
    </dataValidation>
    <dataValidation type="whole" allowBlank="1" showErrorMessage="1" errorTitle="Invalid input" error="Enter a value from the documented options or range." sqref="W3:X99 Q3:R99" xr:uid="{00000000-0002-0000-0300-000008000000}">
      <formula1>1</formula1>
      <formula2>5</formula2>
    </dataValidation>
    <dataValidation type="decimal" allowBlank="1" showErrorMessage="1" errorTitle="Invalid input" error="Enter a value from the documented options or range." sqref="V3:V99" xr:uid="{00000000-0002-0000-0300-00000C000000}">
      <formula1>0</formula1>
      <formula2>1</formula2>
    </dataValidation>
    <dataValidation type="list" allowBlank="1" showErrorMessage="1" errorTitle="Invalid input" error="Enter a value from the documented options or range." sqref="Y3:Y99" xr:uid="{00000000-0002-0000-0300-00000D000000}">
      <formula1>"Pending,Accepted,Further treatment required"</formula1>
    </dataValidation>
    <dataValidation type="list" allowBlank="1" showErrorMessage="1" errorTitle="Invalid input" error="Enter a value from the documented options or range." sqref="D3:D99" xr:uid="{00000000-0002-0000-0300-00000E000000}">
      <formula1>RiskCategoryOptions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8"/>
  <sheetViews>
    <sheetView workbookViewId="0">
      <selection sqref="A1:J1"/>
    </sheetView>
  </sheetViews>
  <sheetFormatPr defaultRowHeight="15"/>
  <cols>
    <col min="1" max="1" width="15" style="9" customWidth="1"/>
    <col min="2" max="2" width="13" style="9" customWidth="1"/>
    <col min="3" max="3" width="13.25" style="2" customWidth="1"/>
    <col min="4" max="4" width="15" style="2" customWidth="1"/>
    <col min="5" max="6" width="15" style="9" customWidth="1"/>
    <col min="7" max="7" width="17.5" style="9" customWidth="1"/>
    <col min="8" max="10" width="15" style="9" customWidth="1"/>
    <col min="11" max="16384" width="9" style="2"/>
  </cols>
  <sheetData>
    <row r="1" spans="1:10" s="1" customFormat="1" ht="27" customHeight="1">
      <c r="A1" s="53" t="s">
        <v>694</v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16.5" customHeight="1">
      <c r="A2" s="15" t="s">
        <v>223</v>
      </c>
      <c r="B2" s="15" t="s">
        <v>133</v>
      </c>
      <c r="C2" s="15" t="s">
        <v>229</v>
      </c>
      <c r="D2" s="15" t="s">
        <v>505</v>
      </c>
      <c r="E2" s="15" t="s">
        <v>506</v>
      </c>
      <c r="F2" s="15" t="s">
        <v>507</v>
      </c>
      <c r="G2" s="15" t="s">
        <v>508</v>
      </c>
      <c r="H2" s="15" t="s">
        <v>509</v>
      </c>
      <c r="I2" s="15" t="s">
        <v>510</v>
      </c>
      <c r="J2" s="15" t="s">
        <v>511</v>
      </c>
    </row>
    <row r="3" spans="1:10" ht="30" customHeight="1">
      <c r="A3" s="72" t="inlineStr">
        <is>
          <t>R1</t>
        </is>
      </c>
      <c r="B3" s="73" t="inlineStr">
        <is>
          <t>2.3</t>
        </is>
      </c>
      <c r="C3" s="74" t="inlineStr">
        <is>
          <t>Duration</t>
        </is>
      </c>
      <c r="D3" s="74" t="inlineStr">
        <is>
          <t>Triangular</t>
        </is>
      </c>
      <c r="E3" s="21"/>
      <c r="F3" s="21">
        <v>1</v>
      </c>
      <c r="G3" s="21">
        <v>2</v>
      </c>
      <c r="H3" s="21">
        <v>4</v>
      </c>
      <c r="I3" s="21"/>
      <c r="J3" s="21"/>
    </row>
    <row r="4" spans="1:10" ht="30" customHeight="1">
      <c r="A4" s="72" t="inlineStr">
        <is>
          <t>R1</t>
        </is>
      </c>
      <c r="B4" s="73" t="inlineStr">
        <is>
          <t>2.6</t>
        </is>
      </c>
      <c r="C4" s="74" t="inlineStr">
        <is>
          <t>Duration</t>
        </is>
      </c>
      <c r="D4" s="74" t="inlineStr">
        <is>
          <t>Triangular</t>
        </is>
      </c>
      <c r="E4" s="21"/>
      <c r="F4" s="21">
        <v>1</v>
      </c>
      <c r="G4" s="21">
        <v>2</v>
      </c>
      <c r="H4" s="21">
        <v>4</v>
      </c>
      <c r="I4" s="21"/>
      <c r="J4" s="21"/>
    </row>
    <row r="5" spans="1:10" ht="30" customHeight="1">
      <c r="A5" s="72" t="inlineStr">
        <is>
          <t>R2</t>
        </is>
      </c>
      <c r="B5" s="73" t="inlineStr">
        <is>
          <t>2.2</t>
        </is>
      </c>
      <c r="C5" s="74" t="inlineStr">
        <is>
          <t>Duration</t>
        </is>
      </c>
      <c r="D5" s="74" t="inlineStr">
        <is>
          <t>Triangular</t>
        </is>
      </c>
      <c r="E5" s="21"/>
      <c r="F5" s="21">
        <v>1</v>
      </c>
      <c r="G5" s="21">
        <v>3</v>
      </c>
      <c r="H5" s="21">
        <v>5</v>
      </c>
      <c r="I5" s="21"/>
      <c r="J5" s="21"/>
    </row>
    <row r="6" spans="1:10" ht="30" customHeight="1">
      <c r="A6" s="72" t="inlineStr">
        <is>
          <t>R2</t>
        </is>
      </c>
      <c r="B6" s="73" t="inlineStr">
        <is>
          <t>2.5</t>
        </is>
      </c>
      <c r="C6" s="74" t="inlineStr">
        <is>
          <t>Duration</t>
        </is>
      </c>
      <c r="D6" s="74" t="inlineStr">
        <is>
          <t>Triangular</t>
        </is>
      </c>
      <c r="E6" s="21"/>
      <c r="F6" s="21">
        <v>1</v>
      </c>
      <c r="G6" s="21">
        <v>3</v>
      </c>
      <c r="H6" s="21">
        <v>5</v>
      </c>
      <c r="I6" s="21"/>
      <c r="J6" s="21"/>
    </row>
    <row r="7" spans="1:10" ht="30" customHeight="1">
      <c r="A7" s="72" t="inlineStr">
        <is>
          <t>R3</t>
        </is>
      </c>
      <c r="B7" s="73" t="inlineStr">
        <is>
          <t>2.5</t>
        </is>
      </c>
      <c r="C7" s="74" t="inlineStr">
        <is>
          <t>Duration</t>
        </is>
      </c>
      <c r="D7" s="74" t="inlineStr">
        <is>
          <t>Normal</t>
        </is>
      </c>
      <c r="E7" s="21"/>
      <c r="F7" s="21"/>
      <c r="G7" s="21"/>
      <c r="H7" s="21"/>
      <c r="I7" s="21">
        <v>1.5</v>
      </c>
      <c r="J7" s="21">
        <v>1</v>
      </c>
    </row>
    <row r="8" spans="1:10" ht="30" customHeight="1">
      <c r="A8" s="72" t="inlineStr">
        <is>
          <t>R3</t>
        </is>
      </c>
      <c r="B8" s="73" t="inlineStr">
        <is>
          <t>2.6</t>
        </is>
      </c>
      <c r="C8" s="74" t="inlineStr">
        <is>
          <t>Duration</t>
        </is>
      </c>
      <c r="D8" s="74" t="inlineStr">
        <is>
          <t>Normal</t>
        </is>
      </c>
      <c r="E8" s="21"/>
      <c r="F8" s="21"/>
      <c r="G8" s="21"/>
      <c r="H8" s="21"/>
      <c r="I8" s="21">
        <v>1.5</v>
      </c>
      <c r="J8" s="21">
        <v>1</v>
      </c>
    </row>
    <row r="9" spans="1:10" ht="30" customHeight="1">
      <c r="A9" s="72" t="inlineStr">
        <is>
          <t>R4</t>
        </is>
      </c>
      <c r="B9" s="73" t="inlineStr">
        <is>
          <t>2.7</t>
        </is>
      </c>
      <c r="C9" s="74" t="inlineStr">
        <is>
          <t>Duration</t>
        </is>
      </c>
      <c r="D9" s="74" t="inlineStr">
        <is>
          <t>Exponential</t>
        </is>
      </c>
      <c r="E9" s="21"/>
      <c r="F9" s="21"/>
      <c r="G9" s="21"/>
      <c r="H9" s="21"/>
      <c r="I9" s="21">
        <v>2</v>
      </c>
      <c r="J9" s="21"/>
    </row>
    <row r="10" spans="1:10" ht="30" customHeight="1">
      <c r="A10" s="72" t="inlineStr">
        <is>
          <t>R4</t>
        </is>
      </c>
      <c r="B10" s="73" t="inlineStr">
        <is>
          <t>2.8</t>
        </is>
      </c>
      <c r="C10" s="74" t="inlineStr">
        <is>
          <t>Duration</t>
        </is>
      </c>
      <c r="D10" s="74" t="inlineStr">
        <is>
          <t>Exponential</t>
        </is>
      </c>
      <c r="E10" s="21"/>
      <c r="F10" s="21"/>
      <c r="G10" s="21"/>
      <c r="H10" s="21"/>
      <c r="I10" s="21">
        <v>2</v>
      </c>
      <c r="J10" s="21"/>
    </row>
    <row r="11" spans="1:10" ht="30" customHeight="1">
      <c r="A11" s="72" t="inlineStr">
        <is>
          <t>R5</t>
        </is>
      </c>
      <c r="B11" s="73" t="inlineStr">
        <is>
          <t>2.10</t>
        </is>
      </c>
      <c r="C11" s="74" t="inlineStr">
        <is>
          <t>Duration</t>
        </is>
      </c>
      <c r="D11" s="74" t="inlineStr">
        <is>
          <t>Triangular</t>
        </is>
      </c>
      <c r="E11" s="21"/>
      <c r="F11" s="21">
        <v>0.5</v>
      </c>
      <c r="G11" s="21">
        <v>1</v>
      </c>
      <c r="H11" s="21">
        <v>2</v>
      </c>
      <c r="I11" s="21"/>
      <c r="J11" s="21"/>
    </row>
    <row r="12" spans="1:10" ht="30" customHeight="1">
      <c r="A12" s="72" t="inlineStr">
        <is>
          <t>R5</t>
        </is>
      </c>
      <c r="B12" s="73" t="inlineStr">
        <is>
          <t>2.13</t>
        </is>
      </c>
      <c r="C12" s="74" t="inlineStr">
        <is>
          <t>Duration</t>
        </is>
      </c>
      <c r="D12" s="74" t="inlineStr">
        <is>
          <t>Triangular</t>
        </is>
      </c>
      <c r="E12" s="21"/>
      <c r="F12" s="21">
        <v>0.5</v>
      </c>
      <c r="G12" s="21">
        <v>1</v>
      </c>
      <c r="H12" s="21">
        <v>2</v>
      </c>
      <c r="I12" s="21"/>
      <c r="J12" s="21"/>
    </row>
    <row r="13" spans="1:10" ht="30" customHeight="1">
      <c r="A13" s="72" t="inlineStr">
        <is>
          <t>R6</t>
        </is>
      </c>
      <c r="B13" s="73" t="inlineStr">
        <is>
          <t>2.8</t>
        </is>
      </c>
      <c r="C13" s="74" t="inlineStr">
        <is>
          <t>Duration</t>
        </is>
      </c>
      <c r="D13" s="74" t="inlineStr">
        <is>
          <t>Triangular</t>
        </is>
      </c>
      <c r="E13" s="21"/>
      <c r="F13" s="21">
        <v>0.5</v>
      </c>
      <c r="G13" s="21">
        <v>2</v>
      </c>
      <c r="H13" s="21">
        <v>2.5</v>
      </c>
      <c r="I13" s="21"/>
      <c r="J13" s="21"/>
    </row>
    <row r="14" spans="1:10" ht="30" customHeight="1">
      <c r="A14" s="72" t="inlineStr">
        <is>
          <t>R6</t>
        </is>
      </c>
      <c r="B14" s="73" t="inlineStr">
        <is>
          <t>2.9</t>
        </is>
      </c>
      <c r="C14" s="74" t="inlineStr">
        <is>
          <t>Duration</t>
        </is>
      </c>
      <c r="D14" s="74" t="inlineStr">
        <is>
          <t>Triangular</t>
        </is>
      </c>
      <c r="E14" s="21"/>
      <c r="F14" s="21">
        <v>0.5</v>
      </c>
      <c r="G14" s="21">
        <v>2</v>
      </c>
      <c r="H14" s="21">
        <v>2.5</v>
      </c>
      <c r="I14" s="21"/>
      <c r="J14" s="21"/>
    </row>
    <row r="15" spans="1:10" ht="30" customHeight="1">
      <c r="A15" s="72" t="inlineStr">
        <is>
          <t>R7</t>
        </is>
      </c>
      <c r="B15" s="73" t="inlineStr">
        <is>
          <t>2.6</t>
        </is>
      </c>
      <c r="C15" s="74" t="inlineStr">
        <is>
          <t>Duration</t>
        </is>
      </c>
      <c r="D15" s="74" t="inlineStr">
        <is>
          <t>Exponential</t>
        </is>
      </c>
      <c r="E15" s="21"/>
      <c r="F15" s="21"/>
      <c r="G15" s="21"/>
      <c r="H15" s="21"/>
      <c r="I15" s="21">
        <v>3</v>
      </c>
      <c r="J15" s="21"/>
    </row>
    <row r="16" spans="1:10" ht="30" customHeight="1">
      <c r="A16" s="72" t="inlineStr">
        <is>
          <t>R7</t>
        </is>
      </c>
      <c r="B16" s="73" t="inlineStr">
        <is>
          <t>2.10</t>
        </is>
      </c>
      <c r="C16" s="74" t="inlineStr">
        <is>
          <t>Duration</t>
        </is>
      </c>
      <c r="D16" s="74" t="inlineStr">
        <is>
          <t>Exponential</t>
        </is>
      </c>
      <c r="E16" s="21"/>
      <c r="F16" s="21"/>
      <c r="G16" s="21"/>
      <c r="H16" s="21"/>
      <c r="I16" s="21">
        <v>3</v>
      </c>
      <c r="J16" s="21"/>
    </row>
    <row r="17" spans="1:10" ht="30" customHeight="1">
      <c r="A17" s="72" t="inlineStr">
        <is>
          <t>R8</t>
        </is>
      </c>
      <c r="B17" s="73" t="inlineStr">
        <is>
          <t>2.4</t>
        </is>
      </c>
      <c r="C17" s="74" t="inlineStr">
        <is>
          <t>Duration</t>
        </is>
      </c>
      <c r="D17" s="74" t="inlineStr">
        <is>
          <t>Triangular</t>
        </is>
      </c>
      <c r="E17" s="21"/>
      <c r="F17" s="21">
        <v>1</v>
      </c>
      <c r="G17" s="21">
        <v>1.5</v>
      </c>
      <c r="H17" s="21">
        <v>3</v>
      </c>
      <c r="I17" s="21"/>
      <c r="J17" s="21"/>
    </row>
    <row r="18" spans="1:10" ht="30" customHeight="1">
      <c r="A18" s="72" t="inlineStr">
        <is>
          <t>R8</t>
        </is>
      </c>
      <c r="B18" s="73" t="inlineStr">
        <is>
          <t>2.12</t>
        </is>
      </c>
      <c r="C18" s="74" t="inlineStr">
        <is>
          <t>Duration</t>
        </is>
      </c>
      <c r="D18" s="74" t="inlineStr">
        <is>
          <t>Triangular</t>
        </is>
      </c>
      <c r="E18" s="21"/>
      <c r="F18" s="21">
        <v>1</v>
      </c>
      <c r="G18" s="21">
        <v>1.5</v>
      </c>
      <c r="H18" s="21">
        <v>3</v>
      </c>
      <c r="I18" s="21"/>
      <c r="J18" s="21"/>
    </row>
    <row r="19" spans="1:10" ht="15" customHeight="1">
      <c r="A19" s="19"/>
      <c r="B19" s="19"/>
      <c r="C19" s="6"/>
      <c r="D19" s="6"/>
      <c r="E19" s="21"/>
      <c r="F19" s="21"/>
      <c r="G19" s="21"/>
      <c r="H19" s="21"/>
      <c r="I19" s="21"/>
      <c r="J19" s="21"/>
    </row>
    <row r="20" spans="1:10" ht="15" customHeight="1">
      <c r="A20" s="19"/>
      <c r="B20" s="19"/>
      <c r="C20" s="6"/>
      <c r="D20" s="6"/>
      <c r="E20" s="21"/>
      <c r="F20" s="21"/>
      <c r="G20" s="21"/>
      <c r="H20" s="21"/>
      <c r="I20" s="21"/>
      <c r="J20" s="21"/>
    </row>
    <row r="21" spans="1:10" ht="15" customHeight="1">
      <c r="A21" s="19"/>
      <c r="B21" s="19"/>
      <c r="C21" s="6"/>
      <c r="D21" s="6"/>
      <c r="E21" s="21"/>
      <c r="F21" s="21"/>
      <c r="G21" s="21"/>
      <c r="H21" s="21"/>
      <c r="I21" s="21"/>
      <c r="J21" s="21"/>
    </row>
    <row r="22" spans="1:10" ht="15" customHeight="1">
      <c r="A22" s="19"/>
      <c r="B22" s="19"/>
      <c r="C22" s="6"/>
      <c r="D22" s="6"/>
      <c r="E22" s="21"/>
      <c r="F22" s="21"/>
      <c r="G22" s="21"/>
      <c r="H22" s="21"/>
      <c r="I22" s="21"/>
      <c r="J22" s="21"/>
    </row>
    <row r="23" spans="1:10" ht="15" customHeight="1">
      <c r="A23" s="19"/>
      <c r="B23" s="19"/>
      <c r="C23" s="6"/>
      <c r="D23" s="6"/>
      <c r="E23" s="21"/>
      <c r="F23" s="21"/>
      <c r="G23" s="21"/>
      <c r="H23" s="21"/>
      <c r="I23" s="21"/>
      <c r="J23" s="21"/>
    </row>
    <row r="24" spans="1:10" ht="15" customHeight="1">
      <c r="A24" s="19"/>
      <c r="B24" s="19"/>
      <c r="C24" s="6"/>
      <c r="D24" s="6"/>
      <c r="E24" s="21"/>
      <c r="F24" s="21"/>
      <c r="G24" s="21"/>
      <c r="H24" s="21"/>
      <c r="I24" s="21"/>
      <c r="J24" s="21"/>
    </row>
    <row r="25" spans="1:10" ht="15" customHeight="1">
      <c r="A25" s="19"/>
      <c r="B25" s="19"/>
      <c r="C25" s="6"/>
      <c r="D25" s="6"/>
      <c r="E25" s="21"/>
      <c r="F25" s="21"/>
      <c r="G25" s="21"/>
      <c r="H25" s="21"/>
      <c r="I25" s="21"/>
      <c r="J25" s="21"/>
    </row>
    <row r="26" spans="1:10" ht="15" customHeight="1">
      <c r="A26" s="19"/>
      <c r="B26" s="19"/>
      <c r="C26" s="6"/>
      <c r="D26" s="6"/>
      <c r="E26" s="21"/>
      <c r="F26" s="21"/>
      <c r="G26" s="21"/>
      <c r="H26" s="21"/>
      <c r="I26" s="21"/>
      <c r="J26" s="21"/>
    </row>
    <row r="27" spans="1:10" ht="15" customHeight="1">
      <c r="A27" s="19"/>
      <c r="B27" s="19"/>
      <c r="C27" s="6"/>
      <c r="D27" s="6"/>
      <c r="E27" s="21"/>
      <c r="F27" s="21"/>
      <c r="G27" s="21"/>
      <c r="H27" s="21"/>
      <c r="I27" s="21"/>
      <c r="J27" s="21"/>
    </row>
    <row r="28" spans="1:10" ht="15" customHeight="1">
      <c r="A28" s="19"/>
      <c r="B28" s="19"/>
      <c r="C28" s="6"/>
      <c r="D28" s="6"/>
      <c r="E28" s="21"/>
      <c r="F28" s="21"/>
      <c r="G28" s="21"/>
      <c r="H28" s="21"/>
      <c r="I28" s="21"/>
      <c r="J28" s="21"/>
    </row>
    <row r="29" spans="1:10" ht="15" customHeight="1">
      <c r="A29" s="19"/>
      <c r="B29" s="19"/>
      <c r="C29" s="6"/>
      <c r="D29" s="6"/>
      <c r="E29" s="21"/>
      <c r="F29" s="21"/>
      <c r="G29" s="21"/>
      <c r="H29" s="21"/>
      <c r="I29" s="21"/>
      <c r="J29" s="21"/>
    </row>
    <row r="30" spans="1:10" ht="15" customHeight="1">
      <c r="A30" s="19"/>
      <c r="B30" s="19"/>
      <c r="C30" s="6"/>
      <c r="D30" s="6"/>
      <c r="E30" s="21"/>
      <c r="F30" s="21"/>
      <c r="G30" s="21"/>
      <c r="H30" s="21"/>
      <c r="I30" s="21"/>
      <c r="J30" s="21"/>
    </row>
    <row r="31" spans="1:10" ht="15" customHeight="1">
      <c r="A31" s="19"/>
      <c r="B31" s="19"/>
      <c r="C31" s="6"/>
      <c r="D31" s="6"/>
      <c r="E31" s="21"/>
      <c r="F31" s="21"/>
      <c r="G31" s="21"/>
      <c r="H31" s="21"/>
      <c r="I31" s="21"/>
      <c r="J31" s="21"/>
    </row>
    <row r="32" spans="1:10" ht="15" customHeight="1">
      <c r="A32" s="19"/>
      <c r="B32" s="19"/>
      <c r="C32" s="6"/>
      <c r="D32" s="6"/>
      <c r="E32" s="21"/>
      <c r="F32" s="21"/>
      <c r="G32" s="21"/>
      <c r="H32" s="21"/>
      <c r="I32" s="21"/>
      <c r="J32" s="21"/>
    </row>
    <row r="33" spans="1:10" ht="15" customHeight="1">
      <c r="A33" s="19"/>
      <c r="B33" s="19"/>
      <c r="C33" s="6"/>
      <c r="D33" s="6"/>
      <c r="E33" s="21"/>
      <c r="F33" s="21"/>
      <c r="G33" s="21"/>
      <c r="H33" s="21"/>
      <c r="I33" s="21"/>
      <c r="J33" s="21"/>
    </row>
    <row r="34" spans="1:10" ht="15" customHeight="1">
      <c r="A34" s="19"/>
      <c r="B34" s="19"/>
      <c r="C34" s="6"/>
      <c r="D34" s="6"/>
      <c r="E34" s="21"/>
      <c r="F34" s="21"/>
      <c r="G34" s="21"/>
      <c r="H34" s="21"/>
      <c r="I34" s="21"/>
      <c r="J34" s="21"/>
    </row>
    <row r="35" spans="1:10" ht="15" customHeight="1">
      <c r="A35" s="19"/>
      <c r="B35" s="19"/>
      <c r="C35" s="6"/>
      <c r="D35" s="6"/>
      <c r="E35" s="21"/>
      <c r="F35" s="21"/>
      <c r="G35" s="21"/>
      <c r="H35" s="21"/>
      <c r="I35" s="21"/>
      <c r="J35" s="21"/>
    </row>
    <row r="36" spans="1:10" ht="15" customHeight="1">
      <c r="A36" s="19"/>
      <c r="B36" s="19"/>
      <c r="C36" s="6"/>
      <c r="D36" s="6"/>
      <c r="E36" s="21"/>
      <c r="F36" s="21"/>
      <c r="G36" s="21"/>
      <c r="H36" s="21"/>
      <c r="I36" s="21"/>
      <c r="J36" s="21"/>
    </row>
    <row r="37" spans="1:10" ht="15" customHeight="1">
      <c r="A37" s="19"/>
      <c r="B37" s="19"/>
      <c r="C37" s="6"/>
      <c r="D37" s="6"/>
      <c r="E37" s="21"/>
      <c r="F37" s="21"/>
      <c r="G37" s="21"/>
      <c r="H37" s="21"/>
      <c r="I37" s="21"/>
      <c r="J37" s="21"/>
    </row>
    <row r="38" spans="1:10" ht="15" customHeight="1">
      <c r="A38" s="19"/>
      <c r="B38" s="19"/>
      <c r="C38" s="6"/>
      <c r="D38" s="6"/>
      <c r="E38" s="21"/>
      <c r="F38" s="21"/>
      <c r="G38" s="21"/>
      <c r="H38" s="21"/>
      <c r="I38" s="21"/>
      <c r="J38" s="21"/>
    </row>
    <row r="39" spans="1:10" ht="15" customHeight="1">
      <c r="A39" s="19"/>
      <c r="B39" s="19"/>
      <c r="C39" s="6"/>
      <c r="D39" s="6"/>
      <c r="E39" s="21"/>
      <c r="F39" s="21"/>
      <c r="G39" s="21"/>
      <c r="H39" s="21"/>
      <c r="I39" s="21"/>
      <c r="J39" s="21"/>
    </row>
    <row r="40" spans="1:10" ht="15" customHeight="1">
      <c r="A40" s="19"/>
      <c r="B40" s="19"/>
      <c r="C40" s="6"/>
      <c r="D40" s="6"/>
      <c r="E40" s="21"/>
      <c r="F40" s="21"/>
      <c r="G40" s="21"/>
      <c r="H40" s="21"/>
      <c r="I40" s="21"/>
      <c r="J40" s="21"/>
    </row>
    <row r="41" spans="1:10" ht="15" customHeight="1">
      <c r="A41" s="19"/>
      <c r="B41" s="19"/>
      <c r="C41" s="6"/>
      <c r="D41" s="6"/>
      <c r="E41" s="21"/>
      <c r="F41" s="21"/>
      <c r="G41" s="21"/>
      <c r="H41" s="21"/>
      <c r="I41" s="21"/>
      <c r="J41" s="21"/>
    </row>
    <row r="42" spans="1:10" ht="15" customHeight="1">
      <c r="A42" s="19"/>
      <c r="B42" s="19"/>
      <c r="C42" s="6"/>
      <c r="D42" s="6"/>
      <c r="E42" s="21"/>
      <c r="F42" s="21"/>
      <c r="G42" s="21"/>
      <c r="H42" s="21"/>
      <c r="I42" s="21"/>
      <c r="J42" s="21"/>
    </row>
    <row r="43" spans="1:10" ht="15" customHeight="1">
      <c r="A43" s="19"/>
      <c r="B43" s="19"/>
      <c r="C43" s="6"/>
      <c r="D43" s="6"/>
      <c r="E43" s="21"/>
      <c r="F43" s="21"/>
      <c r="G43" s="21"/>
      <c r="H43" s="21"/>
      <c r="I43" s="21"/>
      <c r="J43" s="21"/>
    </row>
    <row r="44" spans="1:10" ht="15" customHeight="1">
      <c r="A44" s="19"/>
      <c r="B44" s="19"/>
      <c r="C44" s="6"/>
      <c r="D44" s="6"/>
      <c r="E44" s="21"/>
      <c r="F44" s="21"/>
      <c r="G44" s="21"/>
      <c r="H44" s="21"/>
      <c r="I44" s="21"/>
      <c r="J44" s="21"/>
    </row>
    <row r="45" spans="1:10" ht="15" customHeight="1">
      <c r="A45" s="19"/>
      <c r="B45" s="19"/>
      <c r="C45" s="6"/>
      <c r="D45" s="6"/>
      <c r="E45" s="21"/>
      <c r="F45" s="21"/>
      <c r="G45" s="21"/>
      <c r="H45" s="21"/>
      <c r="I45" s="21"/>
      <c r="J45" s="21"/>
    </row>
    <row r="46" spans="1:10" ht="15" customHeight="1">
      <c r="A46" s="19"/>
      <c r="B46" s="19"/>
      <c r="C46" s="6"/>
      <c r="D46" s="6"/>
      <c r="E46" s="21"/>
      <c r="F46" s="21"/>
      <c r="G46" s="21"/>
      <c r="H46" s="21"/>
      <c r="I46" s="21"/>
      <c r="J46" s="21"/>
    </row>
    <row r="47" spans="1:10" ht="15" customHeight="1">
      <c r="A47" s="19"/>
      <c r="B47" s="19"/>
      <c r="C47" s="6"/>
      <c r="D47" s="6"/>
      <c r="E47" s="21"/>
      <c r="F47" s="21"/>
      <c r="G47" s="21"/>
      <c r="H47" s="21"/>
      <c r="I47" s="21"/>
      <c r="J47" s="21"/>
    </row>
    <row r="48" spans="1:10" ht="15" customHeight="1">
      <c r="A48" s="19"/>
      <c r="B48" s="19"/>
      <c r="C48" s="6"/>
      <c r="D48" s="6"/>
      <c r="E48" s="21"/>
      <c r="F48" s="21"/>
      <c r="G48" s="21"/>
      <c r="H48" s="21"/>
      <c r="I48" s="21"/>
      <c r="J48" s="21"/>
    </row>
    <row r="49" spans="1:10" ht="15" customHeight="1">
      <c r="A49" s="19"/>
      <c r="B49" s="19"/>
      <c r="C49" s="6"/>
      <c r="D49" s="6"/>
      <c r="E49" s="21"/>
      <c r="F49" s="21"/>
      <c r="G49" s="21"/>
      <c r="H49" s="21"/>
      <c r="I49" s="21"/>
      <c r="J49" s="21"/>
    </row>
    <row r="50" spans="1:10" ht="15" customHeight="1">
      <c r="A50" s="19"/>
      <c r="B50" s="19"/>
      <c r="C50" s="6"/>
      <c r="D50" s="6"/>
      <c r="E50" s="21"/>
      <c r="F50" s="21"/>
      <c r="G50" s="21"/>
      <c r="H50" s="21"/>
      <c r="I50" s="21"/>
      <c r="J50" s="21"/>
    </row>
    <row r="51" spans="1:10" ht="15" customHeight="1">
      <c r="A51" s="19"/>
      <c r="B51" s="19"/>
      <c r="C51" s="6"/>
      <c r="D51" s="6"/>
      <c r="E51" s="21"/>
      <c r="F51" s="21"/>
      <c r="G51" s="21"/>
      <c r="H51" s="21"/>
      <c r="I51" s="21"/>
      <c r="J51" s="21"/>
    </row>
    <row r="52" spans="1:10" ht="15" customHeight="1">
      <c r="A52" s="19"/>
      <c r="B52" s="19"/>
      <c r="C52" s="6"/>
      <c r="D52" s="6"/>
      <c r="E52" s="21"/>
      <c r="F52" s="21"/>
      <c r="G52" s="21"/>
      <c r="H52" s="21"/>
      <c r="I52" s="21"/>
      <c r="J52" s="21"/>
    </row>
    <row r="53" spans="1:10" ht="15" customHeight="1">
      <c r="A53" s="19"/>
      <c r="B53" s="19"/>
      <c r="C53" s="6"/>
      <c r="D53" s="6"/>
      <c r="E53" s="21"/>
      <c r="F53" s="21"/>
      <c r="G53" s="21"/>
      <c r="H53" s="21"/>
      <c r="I53" s="21"/>
      <c r="J53" s="21"/>
    </row>
    <row r="54" spans="1:10" ht="15" customHeight="1">
      <c r="A54" s="19"/>
      <c r="B54" s="19"/>
      <c r="C54" s="6"/>
      <c r="D54" s="6"/>
      <c r="E54" s="21"/>
      <c r="F54" s="21"/>
      <c r="G54" s="21"/>
      <c r="H54" s="21"/>
      <c r="I54" s="21"/>
      <c r="J54" s="21"/>
    </row>
    <row r="55" spans="1:10" ht="15" customHeight="1">
      <c r="A55" s="19"/>
      <c r="B55" s="19"/>
      <c r="C55" s="6"/>
      <c r="D55" s="6"/>
      <c r="E55" s="21"/>
      <c r="F55" s="21"/>
      <c r="G55" s="21"/>
      <c r="H55" s="21"/>
      <c r="I55" s="21"/>
      <c r="J55" s="21"/>
    </row>
    <row r="56" spans="1:10" ht="15" customHeight="1">
      <c r="A56" s="19"/>
      <c r="B56" s="19"/>
      <c r="C56" s="6"/>
      <c r="D56" s="6"/>
      <c r="E56" s="21"/>
      <c r="F56" s="21"/>
      <c r="G56" s="21"/>
      <c r="H56" s="21"/>
      <c r="I56" s="21"/>
      <c r="J56" s="21"/>
    </row>
    <row r="57" spans="1:10" ht="15" customHeight="1">
      <c r="A57" s="19"/>
      <c r="B57" s="19"/>
      <c r="C57" s="6"/>
      <c r="D57" s="6"/>
      <c r="E57" s="21"/>
      <c r="F57" s="21"/>
      <c r="G57" s="21"/>
      <c r="H57" s="21"/>
      <c r="I57" s="21"/>
      <c r="J57" s="21"/>
    </row>
    <row r="58" spans="1:10" ht="15" customHeight="1">
      <c r="A58" s="19"/>
      <c r="B58" s="19"/>
      <c r="C58" s="6"/>
      <c r="D58" s="6"/>
      <c r="E58" s="21"/>
      <c r="F58" s="21"/>
      <c r="G58" s="21"/>
      <c r="H58" s="21"/>
      <c r="I58" s="21"/>
      <c r="J58" s="21"/>
    </row>
    <row r="59" spans="1:10" ht="15" customHeight="1">
      <c r="A59" s="19"/>
      <c r="B59" s="19"/>
      <c r="C59" s="6"/>
      <c r="D59" s="6"/>
      <c r="E59" s="21"/>
      <c r="F59" s="21"/>
      <c r="G59" s="21"/>
      <c r="H59" s="21"/>
      <c r="I59" s="21"/>
      <c r="J59" s="21"/>
    </row>
    <row r="60" spans="1:10" ht="15" customHeight="1">
      <c r="A60" s="19"/>
      <c r="B60" s="19"/>
      <c r="C60" s="6"/>
      <c r="D60" s="6"/>
      <c r="E60" s="21"/>
      <c r="F60" s="21"/>
      <c r="G60" s="21"/>
      <c r="H60" s="21"/>
      <c r="I60" s="21"/>
      <c r="J60" s="21"/>
    </row>
    <row r="61" spans="1:10" ht="15" customHeight="1">
      <c r="A61" s="19"/>
      <c r="B61" s="19"/>
      <c r="C61" s="6"/>
      <c r="D61" s="6"/>
      <c r="E61" s="21"/>
      <c r="F61" s="21"/>
      <c r="G61" s="21"/>
      <c r="H61" s="21"/>
      <c r="I61" s="21"/>
      <c r="J61" s="21"/>
    </row>
    <row r="62" spans="1:10" ht="15" customHeight="1">
      <c r="A62" s="19"/>
      <c r="B62" s="19"/>
      <c r="C62" s="6"/>
      <c r="D62" s="6"/>
      <c r="E62" s="21"/>
      <c r="F62" s="21"/>
      <c r="G62" s="21"/>
      <c r="H62" s="21"/>
      <c r="I62" s="21"/>
      <c r="J62" s="21"/>
    </row>
    <row r="63" spans="1:10" ht="15" customHeight="1">
      <c r="A63" s="19"/>
      <c r="B63" s="19"/>
      <c r="C63" s="6"/>
      <c r="D63" s="6"/>
      <c r="E63" s="21"/>
      <c r="F63" s="21"/>
      <c r="G63" s="21"/>
      <c r="H63" s="21"/>
      <c r="I63" s="21"/>
      <c r="J63" s="21"/>
    </row>
    <row r="64" spans="1:10" ht="15" customHeight="1">
      <c r="A64" s="19"/>
      <c r="B64" s="19"/>
      <c r="C64" s="6"/>
      <c r="D64" s="6"/>
      <c r="E64" s="21"/>
      <c r="F64" s="21"/>
      <c r="G64" s="21"/>
      <c r="H64" s="21"/>
      <c r="I64" s="21"/>
      <c r="J64" s="21"/>
    </row>
    <row r="65" spans="1:10" ht="15" customHeight="1">
      <c r="A65" s="19"/>
      <c r="B65" s="19"/>
      <c r="C65" s="6"/>
      <c r="D65" s="6"/>
      <c r="E65" s="21"/>
      <c r="F65" s="21"/>
      <c r="G65" s="21"/>
      <c r="H65" s="21"/>
      <c r="I65" s="21"/>
      <c r="J65" s="21"/>
    </row>
    <row r="66" spans="1:10" ht="15" customHeight="1">
      <c r="A66" s="19"/>
      <c r="B66" s="19"/>
      <c r="C66" s="6"/>
      <c r="D66" s="6"/>
      <c r="E66" s="21"/>
      <c r="F66" s="21"/>
      <c r="G66" s="21"/>
      <c r="H66" s="21"/>
      <c r="I66" s="21"/>
      <c r="J66" s="21"/>
    </row>
    <row r="67" spans="1:10" ht="15" customHeight="1">
      <c r="A67" s="19"/>
      <c r="B67" s="19"/>
      <c r="C67" s="6"/>
      <c r="D67" s="6"/>
      <c r="E67" s="21"/>
      <c r="F67" s="21"/>
      <c r="G67" s="21"/>
      <c r="H67" s="21"/>
      <c r="I67" s="21"/>
      <c r="J67" s="21"/>
    </row>
    <row r="68" spans="1:10" ht="15" customHeight="1">
      <c r="A68" s="19"/>
      <c r="B68" s="19"/>
      <c r="C68" s="6"/>
      <c r="D68" s="6"/>
      <c r="E68" s="21"/>
      <c r="F68" s="21"/>
      <c r="G68" s="21"/>
      <c r="H68" s="21"/>
      <c r="I68" s="21"/>
      <c r="J68" s="21"/>
    </row>
    <row r="69" spans="1:10" ht="15" customHeight="1">
      <c r="A69" s="19"/>
      <c r="B69" s="19"/>
      <c r="C69" s="6"/>
      <c r="D69" s="6"/>
      <c r="E69" s="21"/>
      <c r="F69" s="21"/>
      <c r="G69" s="21"/>
      <c r="H69" s="21"/>
      <c r="I69" s="21"/>
      <c r="J69" s="21"/>
    </row>
    <row r="70" spans="1:10" ht="15" customHeight="1">
      <c r="A70" s="19"/>
      <c r="B70" s="19"/>
      <c r="C70" s="6"/>
      <c r="D70" s="6"/>
      <c r="E70" s="21"/>
      <c r="F70" s="21"/>
      <c r="G70" s="21"/>
      <c r="H70" s="21"/>
      <c r="I70" s="21"/>
      <c r="J70" s="21"/>
    </row>
    <row r="71" spans="1:10" ht="15" customHeight="1">
      <c r="A71" s="19"/>
      <c r="B71" s="19"/>
      <c r="C71" s="6"/>
      <c r="D71" s="6"/>
      <c r="E71" s="21"/>
      <c r="F71" s="21"/>
      <c r="G71" s="21"/>
      <c r="H71" s="21"/>
      <c r="I71" s="21"/>
      <c r="J71" s="21"/>
    </row>
    <row r="72" spans="1:10" ht="15" customHeight="1">
      <c r="A72" s="19"/>
      <c r="B72" s="19"/>
      <c r="C72" s="6"/>
      <c r="D72" s="6"/>
      <c r="E72" s="21"/>
      <c r="F72" s="21"/>
      <c r="G72" s="21"/>
      <c r="H72" s="21"/>
      <c r="I72" s="21"/>
      <c r="J72" s="21"/>
    </row>
    <row r="73" spans="1:10" ht="15" customHeight="1">
      <c r="A73" s="19"/>
      <c r="B73" s="19"/>
      <c r="C73" s="6"/>
      <c r="D73" s="6"/>
      <c r="E73" s="21"/>
      <c r="F73" s="21"/>
      <c r="G73" s="21"/>
      <c r="H73" s="21"/>
      <c r="I73" s="21"/>
      <c r="J73" s="21"/>
    </row>
    <row r="74" spans="1:10" ht="15" customHeight="1">
      <c r="A74" s="19"/>
      <c r="B74" s="19"/>
      <c r="C74" s="6"/>
      <c r="D74" s="6"/>
      <c r="E74" s="21"/>
      <c r="F74" s="21"/>
      <c r="G74" s="21"/>
      <c r="H74" s="21"/>
      <c r="I74" s="21"/>
      <c r="J74" s="21"/>
    </row>
    <row r="75" spans="1:10" ht="15" customHeight="1">
      <c r="A75" s="19"/>
      <c r="B75" s="19"/>
      <c r="C75" s="6"/>
      <c r="D75" s="6"/>
      <c r="E75" s="21"/>
      <c r="F75" s="21"/>
      <c r="G75" s="21"/>
      <c r="H75" s="21"/>
      <c r="I75" s="21"/>
      <c r="J75" s="21"/>
    </row>
    <row r="76" spans="1:10" ht="15" customHeight="1">
      <c r="A76" s="19"/>
      <c r="B76" s="19"/>
      <c r="C76" s="6"/>
      <c r="D76" s="6"/>
      <c r="E76" s="21"/>
      <c r="F76" s="21"/>
      <c r="G76" s="21"/>
      <c r="H76" s="21"/>
      <c r="I76" s="21"/>
      <c r="J76" s="21"/>
    </row>
    <row r="77" spans="1:10" ht="15" customHeight="1">
      <c r="A77" s="19"/>
      <c r="B77" s="19"/>
      <c r="C77" s="6"/>
      <c r="D77" s="6"/>
      <c r="E77" s="21"/>
      <c r="F77" s="21"/>
      <c r="G77" s="21"/>
      <c r="H77" s="21"/>
      <c r="I77" s="21"/>
      <c r="J77" s="21"/>
    </row>
    <row r="78" spans="1:10" ht="15" customHeight="1">
      <c r="A78" s="19"/>
      <c r="B78" s="19"/>
      <c r="C78" s="6"/>
      <c r="D78" s="6"/>
      <c r="E78" s="21"/>
      <c r="F78" s="21"/>
      <c r="G78" s="21"/>
      <c r="H78" s="21"/>
      <c r="I78" s="21"/>
      <c r="J78" s="21"/>
    </row>
    <row r="79" spans="1:10" ht="15" customHeight="1">
      <c r="A79" s="19"/>
      <c r="B79" s="19"/>
      <c r="C79" s="6"/>
      <c r="D79" s="6"/>
      <c r="E79" s="21"/>
      <c r="F79" s="21"/>
      <c r="G79" s="21"/>
      <c r="H79" s="21"/>
      <c r="I79" s="21"/>
      <c r="J79" s="21"/>
    </row>
    <row r="80" spans="1:10" ht="15" customHeight="1">
      <c r="A80" s="19"/>
      <c r="B80" s="19"/>
      <c r="C80" s="6"/>
      <c r="D80" s="6"/>
      <c r="E80" s="21"/>
      <c r="F80" s="21"/>
      <c r="G80" s="21"/>
      <c r="H80" s="21"/>
      <c r="I80" s="21"/>
      <c r="J80" s="21"/>
    </row>
    <row r="81" spans="1:10" ht="15" customHeight="1">
      <c r="A81" s="19"/>
      <c r="B81" s="19"/>
      <c r="C81" s="6"/>
      <c r="D81" s="6"/>
      <c r="E81" s="21"/>
      <c r="F81" s="21"/>
      <c r="G81" s="21"/>
      <c r="H81" s="21"/>
      <c r="I81" s="21"/>
      <c r="J81" s="21"/>
    </row>
    <row r="82" spans="1:10" ht="15" customHeight="1">
      <c r="A82" s="19"/>
      <c r="B82" s="19"/>
      <c r="C82" s="6"/>
      <c r="D82" s="6"/>
      <c r="E82" s="21"/>
      <c r="F82" s="21"/>
      <c r="G82" s="21"/>
      <c r="H82" s="21"/>
      <c r="I82" s="21"/>
      <c r="J82" s="21"/>
    </row>
    <row r="83" spans="1:10" ht="15" customHeight="1">
      <c r="A83" s="19"/>
      <c r="B83" s="19"/>
      <c r="C83" s="6"/>
      <c r="D83" s="6"/>
      <c r="E83" s="21"/>
      <c r="F83" s="21"/>
      <c r="G83" s="21"/>
      <c r="H83" s="21"/>
      <c r="I83" s="21"/>
      <c r="J83" s="21"/>
    </row>
    <row r="84" spans="1:10" ht="15" customHeight="1">
      <c r="A84" s="19"/>
      <c r="B84" s="19"/>
      <c r="C84" s="6"/>
      <c r="D84" s="6"/>
      <c r="E84" s="21"/>
      <c r="F84" s="21"/>
      <c r="G84" s="21"/>
      <c r="H84" s="21"/>
      <c r="I84" s="21"/>
      <c r="J84" s="21"/>
    </row>
    <row r="85" spans="1:10" ht="15" customHeight="1">
      <c r="A85" s="19"/>
      <c r="B85" s="19"/>
      <c r="C85" s="6"/>
      <c r="D85" s="6"/>
      <c r="E85" s="21"/>
      <c r="F85" s="21"/>
      <c r="G85" s="21"/>
      <c r="H85" s="21"/>
      <c r="I85" s="21"/>
      <c r="J85" s="21"/>
    </row>
    <row r="86" spans="1:10" ht="15" customHeight="1">
      <c r="A86" s="19"/>
      <c r="B86" s="19"/>
      <c r="C86" s="6"/>
      <c r="D86" s="6"/>
      <c r="E86" s="21"/>
      <c r="F86" s="21"/>
      <c r="G86" s="21"/>
      <c r="H86" s="21"/>
      <c r="I86" s="21"/>
      <c r="J86" s="21"/>
    </row>
    <row r="87" spans="1:10" ht="15" customHeight="1">
      <c r="A87" s="19"/>
      <c r="B87" s="19"/>
      <c r="C87" s="6"/>
      <c r="D87" s="6"/>
      <c r="E87" s="21"/>
      <c r="F87" s="21"/>
      <c r="G87" s="21"/>
      <c r="H87" s="21"/>
      <c r="I87" s="21"/>
      <c r="J87" s="21"/>
    </row>
    <row r="88" spans="1:10" ht="15" customHeight="1">
      <c r="A88" s="19"/>
      <c r="B88" s="19"/>
      <c r="C88" s="6"/>
      <c r="D88" s="6"/>
      <c r="E88" s="21"/>
      <c r="F88" s="21"/>
      <c r="G88" s="21"/>
      <c r="H88" s="21"/>
      <c r="I88" s="21"/>
      <c r="J88" s="21"/>
    </row>
    <row r="89" spans="1:10" ht="15" customHeight="1">
      <c r="A89" s="19"/>
      <c r="B89" s="19"/>
      <c r="C89" s="6"/>
      <c r="D89" s="6"/>
      <c r="E89" s="21"/>
      <c r="F89" s="21"/>
      <c r="G89" s="21"/>
      <c r="H89" s="21"/>
      <c r="I89" s="21"/>
      <c r="J89" s="21"/>
    </row>
    <row r="90" spans="1:10" ht="15" customHeight="1">
      <c r="A90" s="19"/>
      <c r="B90" s="19"/>
      <c r="C90" s="6"/>
      <c r="D90" s="6"/>
      <c r="E90" s="21"/>
      <c r="F90" s="21"/>
      <c r="G90" s="21"/>
      <c r="H90" s="21"/>
      <c r="I90" s="21"/>
      <c r="J90" s="21"/>
    </row>
    <row r="91" spans="1:10" ht="15" customHeight="1">
      <c r="A91" s="19"/>
      <c r="B91" s="19"/>
      <c r="C91" s="6"/>
      <c r="D91" s="6"/>
      <c r="E91" s="21"/>
      <c r="F91" s="21"/>
      <c r="G91" s="21"/>
      <c r="H91" s="21"/>
      <c r="I91" s="21"/>
      <c r="J91" s="21"/>
    </row>
    <row r="92" spans="1:10" ht="15" customHeight="1">
      <c r="A92" s="19"/>
      <c r="B92" s="19"/>
      <c r="C92" s="6"/>
      <c r="D92" s="6"/>
      <c r="E92" s="21"/>
      <c r="F92" s="21"/>
      <c r="G92" s="21"/>
      <c r="H92" s="21"/>
      <c r="I92" s="21"/>
      <c r="J92" s="21"/>
    </row>
    <row r="93" spans="1:10" ht="15" customHeight="1">
      <c r="A93" s="19"/>
      <c r="B93" s="19"/>
      <c r="C93" s="6"/>
      <c r="D93" s="6"/>
      <c r="E93" s="21"/>
      <c r="F93" s="21"/>
      <c r="G93" s="21"/>
      <c r="H93" s="21"/>
      <c r="I93" s="21"/>
      <c r="J93" s="21"/>
    </row>
    <row r="94" spans="1:10" ht="15" customHeight="1">
      <c r="A94" s="19"/>
      <c r="B94" s="19"/>
      <c r="C94" s="6"/>
      <c r="D94" s="6"/>
      <c r="E94" s="21"/>
      <c r="F94" s="21"/>
      <c r="G94" s="21"/>
      <c r="H94" s="21"/>
      <c r="I94" s="21"/>
      <c r="J94" s="21"/>
    </row>
    <row r="95" spans="1:10" ht="15" customHeight="1">
      <c r="A95" s="19"/>
      <c r="B95" s="19"/>
      <c r="C95" s="6"/>
      <c r="D95" s="6"/>
      <c r="E95" s="21"/>
      <c r="F95" s="21"/>
      <c r="G95" s="21"/>
      <c r="H95" s="21"/>
      <c r="I95" s="21"/>
      <c r="J95" s="21"/>
    </row>
    <row r="96" spans="1:10" ht="15" customHeight="1">
      <c r="A96" s="19"/>
      <c r="B96" s="19"/>
      <c r="C96" s="6"/>
      <c r="D96" s="6"/>
      <c r="E96" s="21"/>
      <c r="F96" s="21"/>
      <c r="G96" s="21"/>
      <c r="H96" s="21"/>
      <c r="I96" s="21"/>
      <c r="J96" s="21"/>
    </row>
    <row r="97" spans="1:10" ht="15" customHeight="1">
      <c r="A97" s="19"/>
      <c r="B97" s="19"/>
      <c r="C97" s="6"/>
      <c r="D97" s="6"/>
      <c r="E97" s="21"/>
      <c r="F97" s="21"/>
      <c r="G97" s="21"/>
      <c r="H97" s="21"/>
      <c r="I97" s="21"/>
      <c r="J97" s="21"/>
    </row>
    <row r="98" spans="1:10" ht="15" customHeight="1">
      <c r="A98" s="19"/>
      <c r="B98" s="19"/>
      <c r="C98" s="6"/>
      <c r="D98" s="6"/>
      <c r="E98" s="21"/>
      <c r="F98" s="21"/>
      <c r="G98" s="21"/>
      <c r="H98" s="21"/>
      <c r="I98" s="21"/>
      <c r="J98" s="21"/>
    </row>
    <row r="99" spans="1:10" ht="15" customHeight="1">
      <c r="A99" s="19"/>
      <c r="B99" s="19"/>
      <c r="C99" s="6"/>
      <c r="D99" s="6"/>
      <c r="E99" s="21"/>
      <c r="F99" s="21"/>
      <c r="G99" s="21"/>
      <c r="H99" s="21"/>
      <c r="I99" s="21"/>
      <c r="J99" s="21"/>
    </row>
    <row r="100" spans="1:10" ht="15" customHeight="1">
      <c r="A100" s="13"/>
      <c r="B100" s="13"/>
      <c r="C100" s="5"/>
      <c r="D100" s="5"/>
      <c r="E100" s="13"/>
      <c r="F100" s="13"/>
      <c r="G100" s="13"/>
      <c r="H100" s="13"/>
      <c r="I100" s="13"/>
      <c r="J100" s="13"/>
    </row>
    <row r="101" spans="1:10" ht="15" customHeight="1">
      <c r="A101" s="13"/>
      <c r="B101" s="13"/>
      <c r="C101" s="5"/>
      <c r="D101" s="5"/>
      <c r="E101" s="13"/>
      <c r="F101" s="13"/>
      <c r="G101" s="13"/>
      <c r="H101" s="13"/>
      <c r="I101" s="13"/>
      <c r="J101" s="13"/>
    </row>
    <row r="102" spans="1:10" ht="15" customHeight="1">
      <c r="A102" s="13"/>
      <c r="B102" s="13"/>
      <c r="C102" s="5"/>
      <c r="D102" s="5"/>
      <c r="E102" s="13"/>
      <c r="F102" s="13"/>
      <c r="G102" s="13"/>
      <c r="H102" s="13"/>
      <c r="I102" s="13"/>
      <c r="J102" s="13"/>
    </row>
    <row r="103" spans="1:10" ht="15" customHeight="1">
      <c r="A103" s="13"/>
      <c r="B103" s="13"/>
      <c r="C103" s="5"/>
      <c r="D103" s="5"/>
      <c r="E103" s="13"/>
      <c r="F103" s="13"/>
      <c r="G103" s="13"/>
      <c r="H103" s="13"/>
      <c r="I103" s="13"/>
      <c r="J103" s="13"/>
    </row>
    <row r="104" spans="1:10" ht="15" customHeight="1">
      <c r="A104" s="13"/>
      <c r="B104" s="13"/>
      <c r="C104" s="5"/>
      <c r="D104" s="5"/>
      <c r="E104" s="13"/>
      <c r="F104" s="13"/>
      <c r="G104" s="13"/>
      <c r="H104" s="13"/>
      <c r="I104" s="13"/>
      <c r="J104" s="13"/>
    </row>
    <row r="105" spans="1:10" ht="15" customHeight="1">
      <c r="A105" s="13"/>
      <c r="B105" s="13"/>
      <c r="C105" s="5"/>
      <c r="D105" s="5"/>
      <c r="E105" s="13"/>
      <c r="F105" s="13"/>
      <c r="G105" s="13"/>
      <c r="H105" s="13"/>
      <c r="I105" s="13"/>
      <c r="J105" s="13"/>
    </row>
    <row r="106" spans="1:10" ht="15" customHeight="1">
      <c r="A106" s="13"/>
      <c r="B106" s="13"/>
      <c r="C106" s="5"/>
      <c r="D106" s="5"/>
      <c r="E106" s="13"/>
      <c r="F106" s="13"/>
      <c r="G106" s="13"/>
      <c r="H106" s="13"/>
      <c r="I106" s="13"/>
      <c r="J106" s="13"/>
    </row>
    <row r="107" spans="1:10" ht="15" customHeight="1">
      <c r="A107" s="13"/>
      <c r="B107" s="13"/>
      <c r="C107" s="5"/>
      <c r="D107" s="5"/>
      <c r="E107" s="13"/>
      <c r="F107" s="13"/>
      <c r="G107" s="13"/>
      <c r="H107" s="13"/>
      <c r="I107" s="13"/>
      <c r="J107" s="13"/>
    </row>
    <row r="108" spans="1:10" ht="15" customHeight="1">
      <c r="A108" s="13"/>
      <c r="B108" s="13"/>
      <c r="C108" s="5"/>
      <c r="D108" s="5"/>
      <c r="E108" s="13"/>
      <c r="F108" s="13"/>
      <c r="G108" s="13"/>
      <c r="H108" s="13"/>
      <c r="I108" s="13"/>
      <c r="J108" s="13"/>
    </row>
    <row r="109" spans="1:10" ht="15" customHeight="1">
      <c r="A109" s="13"/>
      <c r="B109" s="13"/>
      <c r="C109" s="5"/>
      <c r="D109" s="5"/>
      <c r="E109" s="13"/>
      <c r="F109" s="13"/>
      <c r="G109" s="13"/>
      <c r="H109" s="13"/>
      <c r="I109" s="13"/>
      <c r="J109" s="13"/>
    </row>
    <row r="110" spans="1:10" ht="15" customHeight="1">
      <c r="A110" s="13"/>
      <c r="B110" s="13"/>
      <c r="C110" s="5"/>
      <c r="D110" s="5"/>
      <c r="E110" s="13"/>
      <c r="F110" s="13"/>
      <c r="G110" s="13"/>
      <c r="H110" s="13"/>
      <c r="I110" s="13"/>
      <c r="J110" s="13"/>
    </row>
    <row r="111" spans="1:10" ht="15" customHeight="1">
      <c r="A111" s="13"/>
      <c r="B111" s="13"/>
      <c r="C111" s="5"/>
      <c r="D111" s="5"/>
      <c r="E111" s="13"/>
      <c r="F111" s="13"/>
      <c r="G111" s="13"/>
      <c r="H111" s="13"/>
      <c r="I111" s="13"/>
      <c r="J111" s="13"/>
    </row>
    <row r="112" spans="1:10" ht="15" customHeight="1">
      <c r="A112" s="13"/>
      <c r="B112" s="13"/>
      <c r="C112" s="5"/>
      <c r="D112" s="5"/>
      <c r="E112" s="13"/>
      <c r="F112" s="13"/>
      <c r="G112" s="13"/>
      <c r="H112" s="13"/>
      <c r="I112" s="13"/>
      <c r="J112" s="13"/>
    </row>
    <row r="113" spans="1:10" ht="15" customHeight="1">
      <c r="A113" s="13"/>
      <c r="B113" s="13"/>
      <c r="C113" s="5"/>
      <c r="D113" s="5"/>
      <c r="E113" s="13"/>
      <c r="F113" s="13"/>
      <c r="G113" s="13"/>
      <c r="H113" s="13"/>
      <c r="I113" s="13"/>
      <c r="J113" s="13"/>
    </row>
    <row r="114" spans="1:10" ht="15" customHeight="1">
      <c r="A114" s="13"/>
      <c r="B114" s="13"/>
      <c r="C114" s="5"/>
      <c r="D114" s="5"/>
      <c r="E114" s="13"/>
      <c r="F114" s="13"/>
      <c r="G114" s="13"/>
      <c r="H114" s="13"/>
      <c r="I114" s="13"/>
      <c r="J114" s="13"/>
    </row>
    <row r="115" spans="1:10" ht="15" customHeight="1">
      <c r="A115" s="13"/>
      <c r="B115" s="13"/>
      <c r="C115" s="5"/>
      <c r="D115" s="5"/>
      <c r="E115" s="13"/>
      <c r="F115" s="13"/>
      <c r="G115" s="13"/>
      <c r="H115" s="13"/>
      <c r="I115" s="13"/>
      <c r="J115" s="13"/>
    </row>
    <row r="116" spans="1:10" ht="15" customHeight="1">
      <c r="A116" s="13"/>
      <c r="B116" s="13"/>
      <c r="C116" s="5"/>
      <c r="D116" s="5"/>
      <c r="E116" s="13"/>
      <c r="F116" s="13"/>
      <c r="G116" s="13"/>
      <c r="H116" s="13"/>
      <c r="I116" s="13"/>
      <c r="J116" s="13"/>
    </row>
    <row r="117" spans="1:10" ht="15" customHeight="1">
      <c r="A117" s="13"/>
      <c r="B117" s="13"/>
      <c r="C117" s="5"/>
      <c r="D117" s="5"/>
      <c r="E117" s="13"/>
      <c r="F117" s="13"/>
      <c r="G117" s="13"/>
      <c r="H117" s="13"/>
      <c r="I117" s="13"/>
      <c r="J117" s="13"/>
    </row>
    <row r="118" spans="1:10" ht="15" customHeight="1">
      <c r="A118" s="13"/>
      <c r="B118" s="13"/>
      <c r="C118" s="5"/>
      <c r="D118" s="5"/>
      <c r="E118" s="13"/>
      <c r="F118" s="13"/>
      <c r="G118" s="13"/>
      <c r="H118" s="13"/>
      <c r="I118" s="13"/>
      <c r="J118" s="13"/>
    </row>
    <row r="119" spans="1:10" ht="15" customHeight="1">
      <c r="A119" s="13"/>
      <c r="B119" s="13"/>
      <c r="C119" s="5"/>
      <c r="D119" s="5"/>
      <c r="E119" s="13"/>
      <c r="F119" s="13"/>
      <c r="G119" s="13"/>
      <c r="H119" s="13"/>
      <c r="I119" s="13"/>
      <c r="J119" s="13"/>
    </row>
    <row r="120" spans="1:10" ht="15" customHeight="1">
      <c r="A120" s="13"/>
      <c r="B120" s="13"/>
      <c r="C120" s="5"/>
      <c r="D120" s="5"/>
      <c r="E120" s="13"/>
      <c r="F120" s="13"/>
      <c r="G120" s="13"/>
      <c r="H120" s="13"/>
      <c r="I120" s="13"/>
      <c r="J120" s="13"/>
    </row>
    <row r="121" spans="1:10" ht="15" customHeight="1">
      <c r="A121" s="13"/>
      <c r="B121" s="13"/>
      <c r="C121" s="5"/>
      <c r="D121" s="5"/>
      <c r="E121" s="13"/>
      <c r="F121" s="13"/>
      <c r="G121" s="13"/>
      <c r="H121" s="13"/>
      <c r="I121" s="13"/>
      <c r="J121" s="13"/>
    </row>
    <row r="122" spans="1:10" ht="15" customHeight="1">
      <c r="A122" s="13"/>
      <c r="B122" s="13"/>
      <c r="C122" s="5"/>
      <c r="D122" s="5"/>
      <c r="E122" s="13"/>
      <c r="F122" s="13"/>
      <c r="G122" s="13"/>
      <c r="H122" s="13"/>
      <c r="I122" s="13"/>
      <c r="J122" s="13"/>
    </row>
    <row r="123" spans="1:10" ht="15" customHeight="1">
      <c r="A123" s="13"/>
      <c r="B123" s="13"/>
      <c r="C123" s="5"/>
      <c r="D123" s="5"/>
      <c r="E123" s="13"/>
      <c r="F123" s="13"/>
      <c r="G123" s="13"/>
      <c r="H123" s="13"/>
      <c r="I123" s="13"/>
      <c r="J123" s="13"/>
    </row>
    <row r="124" spans="1:10" ht="15" customHeight="1">
      <c r="A124" s="13"/>
      <c r="B124" s="13"/>
      <c r="C124" s="5"/>
      <c r="D124" s="5"/>
      <c r="E124" s="13"/>
      <c r="F124" s="13"/>
      <c r="G124" s="13"/>
      <c r="H124" s="13"/>
      <c r="I124" s="13"/>
      <c r="J124" s="13"/>
    </row>
    <row r="125" spans="1:10" ht="15" customHeight="1">
      <c r="A125" s="13"/>
      <c r="B125" s="13"/>
      <c r="C125" s="5"/>
      <c r="D125" s="5"/>
      <c r="E125" s="13"/>
      <c r="F125" s="13"/>
      <c r="G125" s="13"/>
      <c r="H125" s="13"/>
      <c r="I125" s="13"/>
      <c r="J125" s="13"/>
    </row>
    <row r="126" spans="1:10" ht="15" customHeight="1">
      <c r="A126" s="13"/>
      <c r="B126" s="13"/>
      <c r="C126" s="5"/>
      <c r="D126" s="5"/>
      <c r="E126" s="13"/>
      <c r="F126" s="13"/>
      <c r="G126" s="13"/>
      <c r="H126" s="13"/>
      <c r="I126" s="13"/>
      <c r="J126" s="13"/>
    </row>
    <row r="127" spans="1:10" ht="15" customHeight="1">
      <c r="A127" s="13"/>
      <c r="B127" s="13"/>
      <c r="C127" s="5"/>
      <c r="D127" s="5"/>
      <c r="E127" s="13"/>
      <c r="F127" s="13"/>
      <c r="G127" s="13"/>
      <c r="H127" s="13"/>
      <c r="I127" s="13"/>
      <c r="J127" s="13"/>
    </row>
    <row r="128" spans="1:10" ht="15" customHeight="1">
      <c r="A128" s="13"/>
      <c r="B128" s="13"/>
      <c r="C128" s="5"/>
      <c r="D128" s="5"/>
      <c r="E128" s="13"/>
      <c r="F128" s="13"/>
      <c r="G128" s="13"/>
      <c r="H128" s="13"/>
      <c r="I128" s="13"/>
      <c r="J128" s="13"/>
    </row>
    <row r="129" spans="1:10" ht="15" customHeight="1">
      <c r="A129" s="13"/>
      <c r="B129" s="13"/>
      <c r="C129" s="5"/>
      <c r="D129" s="5"/>
      <c r="E129" s="13"/>
      <c r="F129" s="13"/>
      <c r="G129" s="13"/>
      <c r="H129" s="13"/>
      <c r="I129" s="13"/>
      <c r="J129" s="13"/>
    </row>
    <row r="130" spans="1:10" ht="15" customHeight="1">
      <c r="A130" s="13"/>
      <c r="B130" s="13"/>
      <c r="C130" s="5"/>
      <c r="D130" s="5"/>
      <c r="E130" s="13"/>
      <c r="F130" s="13"/>
      <c r="G130" s="13"/>
      <c r="H130" s="13"/>
      <c r="I130" s="13"/>
      <c r="J130" s="13"/>
    </row>
    <row r="131" spans="1:10" ht="15" customHeight="1">
      <c r="A131" s="13"/>
      <c r="B131" s="13"/>
      <c r="C131" s="5"/>
      <c r="D131" s="5"/>
      <c r="E131" s="13"/>
      <c r="F131" s="13"/>
      <c r="G131" s="13"/>
      <c r="H131" s="13"/>
      <c r="I131" s="13"/>
      <c r="J131" s="13"/>
    </row>
    <row r="132" spans="1:10" ht="15" customHeight="1">
      <c r="A132" s="13"/>
      <c r="B132" s="13"/>
      <c r="C132" s="5"/>
      <c r="D132" s="5"/>
      <c r="E132" s="13"/>
      <c r="F132" s="13"/>
      <c r="G132" s="13"/>
      <c r="H132" s="13"/>
      <c r="I132" s="13"/>
      <c r="J132" s="13"/>
    </row>
    <row r="133" spans="1:10" ht="15" customHeight="1">
      <c r="A133" s="13"/>
      <c r="B133" s="13"/>
      <c r="C133" s="5"/>
      <c r="D133" s="5"/>
      <c r="E133" s="13"/>
      <c r="F133" s="13"/>
      <c r="G133" s="13"/>
      <c r="H133" s="13"/>
      <c r="I133" s="13"/>
      <c r="J133" s="13"/>
    </row>
    <row r="134" spans="1:10" ht="15" customHeight="1">
      <c r="A134" s="13"/>
      <c r="B134" s="13"/>
      <c r="C134" s="5"/>
      <c r="D134" s="5"/>
      <c r="E134" s="13"/>
      <c r="F134" s="13"/>
      <c r="G134" s="13"/>
      <c r="H134" s="13"/>
      <c r="I134" s="13"/>
      <c r="J134" s="13"/>
    </row>
    <row r="135" spans="1:10" ht="15" customHeight="1">
      <c r="A135" s="13"/>
      <c r="B135" s="13"/>
      <c r="C135" s="5"/>
      <c r="D135" s="5"/>
      <c r="E135" s="13"/>
      <c r="F135" s="13"/>
      <c r="G135" s="13"/>
      <c r="H135" s="13"/>
      <c r="I135" s="13"/>
      <c r="J135" s="13"/>
    </row>
    <row r="136" spans="1:10" ht="15" customHeight="1">
      <c r="A136" s="13"/>
      <c r="B136" s="13"/>
      <c r="C136" s="5"/>
      <c r="D136" s="5"/>
      <c r="E136" s="13"/>
      <c r="F136" s="13"/>
      <c r="G136" s="13"/>
      <c r="H136" s="13"/>
      <c r="I136" s="13"/>
      <c r="J136" s="13"/>
    </row>
    <row r="137" spans="1:10" ht="15" customHeight="1">
      <c r="A137" s="13"/>
      <c r="B137" s="13"/>
      <c r="C137" s="5"/>
      <c r="D137" s="5"/>
      <c r="E137" s="13"/>
      <c r="F137" s="13"/>
      <c r="G137" s="13"/>
      <c r="H137" s="13"/>
      <c r="I137" s="13"/>
      <c r="J137" s="13"/>
    </row>
    <row r="138" spans="1:10" ht="15" customHeight="1">
      <c r="A138" s="13"/>
      <c r="B138" s="13"/>
      <c r="C138" s="5"/>
      <c r="D138" s="5"/>
      <c r="E138" s="13"/>
      <c r="F138" s="13"/>
      <c r="G138" s="13"/>
      <c r="H138" s="13"/>
      <c r="I138" s="13"/>
      <c r="J138" s="13"/>
    </row>
    <row r="139" spans="1:10" ht="15" customHeight="1">
      <c r="A139" s="13"/>
      <c r="B139" s="13"/>
      <c r="C139" s="5"/>
      <c r="D139" s="5"/>
      <c r="E139" s="13"/>
      <c r="F139" s="13"/>
      <c r="G139" s="13"/>
      <c r="H139" s="13"/>
      <c r="I139" s="13"/>
      <c r="J139" s="13"/>
    </row>
    <row r="140" spans="1:10" ht="15" customHeight="1">
      <c r="A140" s="13"/>
      <c r="B140" s="13"/>
      <c r="C140" s="5"/>
      <c r="D140" s="5"/>
      <c r="E140" s="13"/>
      <c r="F140" s="13"/>
      <c r="G140" s="13"/>
      <c r="H140" s="13"/>
      <c r="I140" s="13"/>
      <c r="J140" s="13"/>
    </row>
    <row r="141" spans="1:10" ht="15" customHeight="1">
      <c r="A141" s="13"/>
      <c r="B141" s="13"/>
      <c r="C141" s="5"/>
      <c r="D141" s="5"/>
      <c r="E141" s="13"/>
      <c r="F141" s="13"/>
      <c r="G141" s="13"/>
      <c r="H141" s="13"/>
      <c r="I141" s="13"/>
      <c r="J141" s="13"/>
    </row>
    <row r="142" spans="1:10" ht="15" customHeight="1">
      <c r="A142" s="13"/>
      <c r="B142" s="13"/>
      <c r="C142" s="5"/>
      <c r="D142" s="5"/>
      <c r="E142" s="13"/>
      <c r="F142" s="13"/>
      <c r="G142" s="13"/>
      <c r="H142" s="13"/>
      <c r="I142" s="13"/>
      <c r="J142" s="13"/>
    </row>
    <row r="143" spans="1:10" ht="15" customHeight="1">
      <c r="A143" s="13"/>
      <c r="B143" s="13"/>
      <c r="C143" s="5"/>
      <c r="D143" s="5"/>
      <c r="E143" s="13"/>
      <c r="F143" s="13"/>
      <c r="G143" s="13"/>
      <c r="H143" s="13"/>
      <c r="I143" s="13"/>
      <c r="J143" s="13"/>
    </row>
    <row r="144" spans="1:10" ht="15" customHeight="1">
      <c r="A144" s="13"/>
      <c r="B144" s="13"/>
      <c r="C144" s="5"/>
      <c r="D144" s="5"/>
      <c r="E144" s="13"/>
      <c r="F144" s="13"/>
      <c r="G144" s="13"/>
      <c r="H144" s="13"/>
      <c r="I144" s="13"/>
      <c r="J144" s="13"/>
    </row>
    <row r="145" spans="1:10" ht="15" customHeight="1">
      <c r="A145" s="13"/>
      <c r="B145" s="13"/>
      <c r="C145" s="5"/>
      <c r="D145" s="5"/>
      <c r="E145" s="13"/>
      <c r="F145" s="13"/>
      <c r="G145" s="13"/>
      <c r="H145" s="13"/>
      <c r="I145" s="13"/>
      <c r="J145" s="13"/>
    </row>
    <row r="146" spans="1:10" ht="15" customHeight="1">
      <c r="A146" s="13"/>
      <c r="B146" s="13"/>
      <c r="C146" s="5"/>
      <c r="D146" s="5"/>
      <c r="E146" s="13"/>
      <c r="F146" s="13"/>
      <c r="G146" s="13"/>
      <c r="H146" s="13"/>
      <c r="I146" s="13"/>
      <c r="J146" s="13"/>
    </row>
    <row r="147" spans="1:10" ht="15" customHeight="1">
      <c r="A147" s="13"/>
      <c r="B147" s="13"/>
      <c r="C147" s="5"/>
      <c r="D147" s="5"/>
      <c r="E147" s="13"/>
      <c r="F147" s="13"/>
      <c r="G147" s="13"/>
      <c r="H147" s="13"/>
      <c r="I147" s="13"/>
      <c r="J147" s="13"/>
    </row>
    <row r="148" spans="1:10" ht="15" customHeight="1">
      <c r="A148" s="13"/>
      <c r="B148" s="13"/>
      <c r="C148" s="5"/>
      <c r="D148" s="5"/>
      <c r="E148" s="13"/>
      <c r="F148" s="13"/>
      <c r="G148" s="13"/>
      <c r="H148" s="13"/>
      <c r="I148" s="13"/>
      <c r="J148" s="13"/>
    </row>
    <row r="149" spans="1:10" ht="15" customHeight="1">
      <c r="A149" s="13"/>
      <c r="B149" s="13"/>
      <c r="C149" s="5"/>
      <c r="D149" s="5"/>
      <c r="E149" s="13"/>
      <c r="F149" s="13"/>
      <c r="G149" s="13"/>
      <c r="H149" s="13"/>
      <c r="I149" s="13"/>
      <c r="J149" s="13"/>
    </row>
    <row r="150" spans="1:10" ht="15" customHeight="1">
      <c r="A150" s="13"/>
      <c r="B150" s="13"/>
      <c r="C150" s="5"/>
      <c r="D150" s="5"/>
      <c r="E150" s="13"/>
      <c r="F150" s="13"/>
      <c r="G150" s="13"/>
      <c r="H150" s="13"/>
      <c r="I150" s="13"/>
      <c r="J150" s="13"/>
    </row>
    <row r="151" spans="1:10" ht="15" customHeight="1">
      <c r="A151" s="13"/>
      <c r="B151" s="13"/>
      <c r="C151" s="5"/>
      <c r="D151" s="5"/>
      <c r="E151" s="13"/>
      <c r="F151" s="13"/>
      <c r="G151" s="13"/>
      <c r="H151" s="13"/>
      <c r="I151" s="13"/>
      <c r="J151" s="13"/>
    </row>
    <row r="152" spans="1:10" ht="15" customHeight="1">
      <c r="A152" s="13"/>
      <c r="B152" s="13"/>
      <c r="C152" s="5"/>
      <c r="D152" s="5"/>
      <c r="E152" s="13"/>
      <c r="F152" s="13"/>
      <c r="G152" s="13"/>
      <c r="H152" s="13"/>
      <c r="I152" s="13"/>
      <c r="J152" s="13"/>
    </row>
    <row r="153" spans="1:10" ht="15" customHeight="1">
      <c r="A153" s="13"/>
      <c r="B153" s="13"/>
      <c r="C153" s="5"/>
      <c r="D153" s="5"/>
      <c r="E153" s="13"/>
      <c r="F153" s="13"/>
      <c r="G153" s="13"/>
      <c r="H153" s="13"/>
      <c r="I153" s="13"/>
      <c r="J153" s="13"/>
    </row>
    <row r="154" spans="1:10" ht="15" customHeight="1">
      <c r="A154" s="13"/>
      <c r="B154" s="13"/>
      <c r="C154" s="5"/>
      <c r="D154" s="5"/>
      <c r="E154" s="13"/>
      <c r="F154" s="13"/>
      <c r="G154" s="13"/>
      <c r="H154" s="13"/>
      <c r="I154" s="13"/>
      <c r="J154" s="13"/>
    </row>
    <row r="155" spans="1:10" ht="15" customHeight="1">
      <c r="A155" s="13"/>
      <c r="B155" s="13"/>
      <c r="C155" s="5"/>
      <c r="D155" s="5"/>
      <c r="E155" s="13"/>
      <c r="F155" s="13"/>
      <c r="G155" s="13"/>
      <c r="H155" s="13"/>
      <c r="I155" s="13"/>
      <c r="J155" s="13"/>
    </row>
    <row r="156" spans="1:10" ht="15" customHeight="1">
      <c r="A156" s="13"/>
      <c r="B156" s="13"/>
      <c r="C156" s="5"/>
      <c r="D156" s="5"/>
      <c r="E156" s="13"/>
      <c r="F156" s="13"/>
      <c r="G156" s="13"/>
      <c r="H156" s="13"/>
      <c r="I156" s="13"/>
      <c r="J156" s="13"/>
    </row>
    <row r="157" spans="1:10" ht="15" customHeight="1">
      <c r="A157" s="13"/>
      <c r="B157" s="13"/>
      <c r="C157" s="5"/>
      <c r="D157" s="5"/>
      <c r="E157" s="13"/>
      <c r="F157" s="13"/>
      <c r="G157" s="13"/>
      <c r="H157" s="13"/>
      <c r="I157" s="13"/>
      <c r="J157" s="13"/>
    </row>
    <row r="158" spans="1:10" ht="15" customHeight="1">
      <c r="A158" s="13"/>
      <c r="B158" s="13"/>
      <c r="C158" s="5"/>
      <c r="D158" s="5"/>
      <c r="E158" s="13"/>
      <c r="F158" s="13"/>
      <c r="G158" s="13"/>
      <c r="H158" s="13"/>
      <c r="I158" s="13"/>
      <c r="J158" s="13"/>
    </row>
    <row r="159" spans="1:10" ht="15" customHeight="1">
      <c r="A159" s="13"/>
      <c r="B159" s="13"/>
      <c r="C159" s="5"/>
      <c r="D159" s="5"/>
      <c r="E159" s="13"/>
      <c r="F159" s="13"/>
      <c r="G159" s="13"/>
      <c r="H159" s="13"/>
      <c r="I159" s="13"/>
      <c r="J159" s="13"/>
    </row>
    <row r="160" spans="1:10" ht="15" customHeight="1">
      <c r="A160" s="13"/>
      <c r="B160" s="13"/>
      <c r="C160" s="5"/>
      <c r="D160" s="5"/>
      <c r="E160" s="13"/>
      <c r="F160" s="13"/>
      <c r="G160" s="13"/>
      <c r="H160" s="13"/>
      <c r="I160" s="13"/>
      <c r="J160" s="13"/>
    </row>
    <row r="161" spans="1:10" ht="15" customHeight="1">
      <c r="A161" s="13"/>
      <c r="B161" s="13"/>
      <c r="C161" s="5"/>
      <c r="D161" s="5"/>
      <c r="E161" s="13"/>
      <c r="F161" s="13"/>
      <c r="G161" s="13"/>
      <c r="H161" s="13"/>
      <c r="I161" s="13"/>
      <c r="J161" s="13"/>
    </row>
    <row r="162" spans="1:10" ht="15" customHeight="1">
      <c r="A162" s="13"/>
      <c r="B162" s="13"/>
      <c r="C162" s="5"/>
      <c r="D162" s="5"/>
      <c r="E162" s="13"/>
      <c r="F162" s="13"/>
      <c r="G162" s="13"/>
      <c r="H162" s="13"/>
      <c r="I162" s="13"/>
      <c r="J162" s="13"/>
    </row>
    <row r="163" spans="1:10" ht="15" customHeight="1">
      <c r="A163" s="13"/>
      <c r="B163" s="13"/>
      <c r="C163" s="5"/>
      <c r="D163" s="5"/>
      <c r="E163" s="13"/>
      <c r="F163" s="13"/>
      <c r="G163" s="13"/>
      <c r="H163" s="13"/>
      <c r="I163" s="13"/>
      <c r="J163" s="13"/>
    </row>
    <row r="164" spans="1:10" ht="15" customHeight="1">
      <c r="A164" s="13"/>
      <c r="B164" s="13"/>
      <c r="C164" s="5"/>
      <c r="D164" s="5"/>
      <c r="E164" s="13"/>
      <c r="F164" s="13"/>
      <c r="G164" s="13"/>
      <c r="H164" s="13"/>
      <c r="I164" s="13"/>
      <c r="J164" s="13"/>
    </row>
    <row r="165" spans="1:10" ht="15" customHeight="1">
      <c r="A165" s="13"/>
      <c r="B165" s="13"/>
      <c r="C165" s="5"/>
      <c r="D165" s="5"/>
      <c r="E165" s="13"/>
      <c r="F165" s="13"/>
      <c r="G165" s="13"/>
      <c r="H165" s="13"/>
      <c r="I165" s="13"/>
      <c r="J165" s="13"/>
    </row>
    <row r="166" spans="1:10" ht="15" customHeight="1">
      <c r="A166" s="13"/>
      <c r="B166" s="13"/>
      <c r="C166" s="5"/>
      <c r="D166" s="5"/>
      <c r="E166" s="13"/>
      <c r="F166" s="13"/>
      <c r="G166" s="13"/>
      <c r="H166" s="13"/>
      <c r="I166" s="13"/>
      <c r="J166" s="13"/>
    </row>
    <row r="167" spans="1:10" ht="15" customHeight="1">
      <c r="A167" s="13"/>
      <c r="B167" s="13"/>
      <c r="C167" s="5"/>
      <c r="D167" s="5"/>
      <c r="E167" s="13"/>
      <c r="F167" s="13"/>
      <c r="G167" s="13"/>
      <c r="H167" s="13"/>
      <c r="I167" s="13"/>
      <c r="J167" s="13"/>
    </row>
    <row r="168" spans="1:10" ht="15" customHeight="1">
      <c r="A168" s="13"/>
      <c r="B168" s="13"/>
      <c r="C168" s="5"/>
      <c r="D168" s="5"/>
      <c r="E168" s="13"/>
      <c r="F168" s="13"/>
      <c r="G168" s="13"/>
      <c r="H168" s="13"/>
      <c r="I168" s="13"/>
      <c r="J168" s="13"/>
    </row>
    <row r="169" spans="1:10" ht="15" customHeight="1">
      <c r="A169" s="13"/>
      <c r="B169" s="13"/>
      <c r="C169" s="5"/>
      <c r="D169" s="5"/>
      <c r="E169" s="13"/>
      <c r="F169" s="13"/>
      <c r="G169" s="13"/>
      <c r="H169" s="13"/>
      <c r="I169" s="13"/>
      <c r="J169" s="13"/>
    </row>
    <row r="170" spans="1:10" ht="15" customHeight="1">
      <c r="A170" s="13"/>
      <c r="B170" s="13"/>
      <c r="C170" s="5"/>
      <c r="D170" s="5"/>
      <c r="E170" s="13"/>
      <c r="F170" s="13"/>
      <c r="G170" s="13"/>
      <c r="H170" s="13"/>
      <c r="I170" s="13"/>
      <c r="J170" s="13"/>
    </row>
    <row r="171" spans="1:10" ht="15" customHeight="1">
      <c r="A171" s="13"/>
      <c r="B171" s="13"/>
      <c r="C171" s="5"/>
      <c r="D171" s="5"/>
      <c r="E171" s="13"/>
      <c r="F171" s="13"/>
      <c r="G171" s="13"/>
      <c r="H171" s="13"/>
      <c r="I171" s="13"/>
      <c r="J171" s="13"/>
    </row>
    <row r="172" spans="1:10" ht="15" customHeight="1">
      <c r="A172" s="13"/>
      <c r="B172" s="13"/>
      <c r="C172" s="5"/>
      <c r="D172" s="5"/>
      <c r="E172" s="13"/>
      <c r="F172" s="13"/>
      <c r="G172" s="13"/>
      <c r="H172" s="13"/>
      <c r="I172" s="13"/>
      <c r="J172" s="13"/>
    </row>
    <row r="173" spans="1:10" ht="15" customHeight="1">
      <c r="A173" s="13"/>
      <c r="B173" s="13"/>
      <c r="C173" s="5"/>
      <c r="D173" s="5"/>
      <c r="E173" s="13"/>
      <c r="F173" s="13"/>
      <c r="G173" s="13"/>
      <c r="H173" s="13"/>
      <c r="I173" s="13"/>
      <c r="J173" s="13"/>
    </row>
    <row r="174" spans="1:10" ht="15" customHeight="1">
      <c r="A174" s="13"/>
      <c r="B174" s="13"/>
      <c r="C174" s="5"/>
      <c r="D174" s="5"/>
      <c r="E174" s="13"/>
      <c r="F174" s="13"/>
      <c r="G174" s="13"/>
      <c r="H174" s="13"/>
      <c r="I174" s="13"/>
      <c r="J174" s="13"/>
    </row>
    <row r="175" spans="1:10" ht="15" customHeight="1">
      <c r="A175" s="13"/>
      <c r="B175" s="13"/>
      <c r="C175" s="5"/>
      <c r="D175" s="5"/>
      <c r="E175" s="13"/>
      <c r="F175" s="13"/>
      <c r="G175" s="13"/>
      <c r="H175" s="13"/>
      <c r="I175" s="13"/>
      <c r="J175" s="13"/>
    </row>
    <row r="176" spans="1:10" ht="15" customHeight="1">
      <c r="A176" s="13"/>
      <c r="B176" s="13"/>
      <c r="C176" s="5"/>
      <c r="D176" s="5"/>
      <c r="E176" s="13"/>
      <c r="F176" s="13"/>
      <c r="G176" s="13"/>
      <c r="H176" s="13"/>
      <c r="I176" s="13"/>
      <c r="J176" s="13"/>
    </row>
    <row r="177" spans="1:10" ht="15" customHeight="1">
      <c r="A177" s="13"/>
      <c r="B177" s="13"/>
      <c r="C177" s="5"/>
      <c r="D177" s="5"/>
      <c r="E177" s="13"/>
      <c r="F177" s="13"/>
      <c r="G177" s="13"/>
      <c r="H177" s="13"/>
      <c r="I177" s="13"/>
      <c r="J177" s="13"/>
    </row>
    <row r="178" spans="1:10" ht="15" customHeight="1">
      <c r="A178" s="13"/>
      <c r="B178" s="13"/>
      <c r="C178" s="5"/>
      <c r="D178" s="5"/>
      <c r="E178" s="13"/>
      <c r="F178" s="13"/>
      <c r="G178" s="13"/>
      <c r="H178" s="13"/>
      <c r="I178" s="13"/>
      <c r="J178" s="13"/>
    </row>
    <row r="179" spans="1:10" ht="15" customHeight="1">
      <c r="A179" s="13"/>
      <c r="B179" s="13"/>
      <c r="C179" s="5"/>
      <c r="D179" s="5"/>
      <c r="E179" s="13"/>
      <c r="F179" s="13"/>
      <c r="G179" s="13"/>
      <c r="H179" s="13"/>
      <c r="I179" s="13"/>
      <c r="J179" s="13"/>
    </row>
    <row r="180" spans="1:10" ht="15" customHeight="1">
      <c r="A180" s="13"/>
      <c r="B180" s="13"/>
      <c r="C180" s="5"/>
      <c r="D180" s="5"/>
      <c r="E180" s="13"/>
      <c r="F180" s="13"/>
      <c r="G180" s="13"/>
      <c r="H180" s="13"/>
      <c r="I180" s="13"/>
      <c r="J180" s="13"/>
    </row>
    <row r="181" spans="1:10" ht="15" customHeight="1">
      <c r="A181" s="13"/>
      <c r="B181" s="13"/>
      <c r="C181" s="5"/>
      <c r="D181" s="5"/>
      <c r="E181" s="13"/>
      <c r="F181" s="13"/>
      <c r="G181" s="13"/>
      <c r="H181" s="13"/>
      <c r="I181" s="13"/>
      <c r="J181" s="13"/>
    </row>
    <row r="182" spans="1:10" ht="15" customHeight="1">
      <c r="A182" s="13"/>
      <c r="B182" s="13"/>
      <c r="C182" s="5"/>
      <c r="D182" s="5"/>
      <c r="E182" s="13"/>
      <c r="F182" s="13"/>
      <c r="G182" s="13"/>
      <c r="H182" s="13"/>
      <c r="I182" s="13"/>
      <c r="J182" s="13"/>
    </row>
    <row r="183" spans="1:10" ht="15" customHeight="1">
      <c r="A183" s="13"/>
      <c r="B183" s="13"/>
      <c r="C183" s="5"/>
      <c r="D183" s="5"/>
      <c r="E183" s="13"/>
      <c r="F183" s="13"/>
      <c r="G183" s="13"/>
      <c r="H183" s="13"/>
      <c r="I183" s="13"/>
      <c r="J183" s="13"/>
    </row>
    <row r="184" spans="1:10" ht="15" customHeight="1">
      <c r="A184" s="13"/>
      <c r="B184" s="13"/>
      <c r="C184" s="5"/>
      <c r="D184" s="5"/>
      <c r="E184" s="13"/>
      <c r="F184" s="13"/>
      <c r="G184" s="13"/>
      <c r="H184" s="13"/>
      <c r="I184" s="13"/>
      <c r="J184" s="13"/>
    </row>
    <row r="185" spans="1:10" ht="15" customHeight="1">
      <c r="A185" s="13"/>
      <c r="B185" s="13"/>
      <c r="C185" s="5"/>
      <c r="D185" s="5"/>
      <c r="E185" s="13"/>
      <c r="F185" s="13"/>
      <c r="G185" s="13"/>
      <c r="H185" s="13"/>
      <c r="I185" s="13"/>
      <c r="J185" s="13"/>
    </row>
    <row r="186" spans="1:10" ht="15" customHeight="1">
      <c r="A186" s="13"/>
      <c r="B186" s="13"/>
      <c r="C186" s="5"/>
      <c r="D186" s="5"/>
      <c r="E186" s="13"/>
      <c r="F186" s="13"/>
      <c r="G186" s="13"/>
      <c r="H186" s="13"/>
      <c r="I186" s="13"/>
      <c r="J186" s="13"/>
    </row>
    <row r="187" spans="1:10" ht="15" customHeight="1">
      <c r="A187" s="13"/>
      <c r="B187" s="13"/>
      <c r="C187" s="5"/>
      <c r="D187" s="5"/>
      <c r="E187" s="13"/>
      <c r="F187" s="13"/>
      <c r="G187" s="13"/>
      <c r="H187" s="13"/>
      <c r="I187" s="13"/>
      <c r="J187" s="13"/>
    </row>
    <row r="188" spans="1:10" ht="15" customHeight="1">
      <c r="A188" s="13"/>
      <c r="B188" s="13"/>
      <c r="C188" s="5"/>
      <c r="D188" s="5"/>
      <c r="E188" s="13"/>
      <c r="F188" s="13"/>
      <c r="G188" s="13"/>
      <c r="H188" s="13"/>
      <c r="I188" s="13"/>
      <c r="J188" s="13"/>
    </row>
    <row r="189" spans="1:10" ht="15" customHeight="1">
      <c r="A189" s="13"/>
      <c r="B189" s="13"/>
      <c r="C189" s="5"/>
      <c r="D189" s="5"/>
      <c r="E189" s="13"/>
      <c r="F189" s="13"/>
      <c r="G189" s="13"/>
      <c r="H189" s="13"/>
      <c r="I189" s="13"/>
      <c r="J189" s="13"/>
    </row>
    <row r="190" spans="1:10" ht="15" customHeight="1">
      <c r="A190" s="13"/>
      <c r="B190" s="13"/>
      <c r="C190" s="5"/>
      <c r="D190" s="5"/>
      <c r="E190" s="13"/>
      <c r="F190" s="13"/>
      <c r="G190" s="13"/>
      <c r="H190" s="13"/>
      <c r="I190" s="13"/>
      <c r="J190" s="13"/>
    </row>
    <row r="191" spans="1:10" ht="15" customHeight="1">
      <c r="A191" s="13"/>
      <c r="B191" s="13"/>
      <c r="C191" s="5"/>
      <c r="D191" s="5"/>
      <c r="E191" s="13"/>
      <c r="F191" s="13"/>
      <c r="G191" s="13"/>
      <c r="H191" s="13"/>
      <c r="I191" s="13"/>
      <c r="J191" s="13"/>
    </row>
    <row r="192" spans="1:10" ht="15" customHeight="1">
      <c r="A192" s="13"/>
      <c r="B192" s="13"/>
      <c r="C192" s="5"/>
      <c r="D192" s="5"/>
      <c r="E192" s="13"/>
      <c r="F192" s="13"/>
      <c r="G192" s="13"/>
      <c r="H192" s="13"/>
      <c r="I192" s="13"/>
      <c r="J192" s="13"/>
    </row>
    <row r="193" spans="1:10" ht="15" customHeight="1">
      <c r="A193" s="13"/>
      <c r="B193" s="13"/>
      <c r="C193" s="5"/>
      <c r="D193" s="5"/>
      <c r="E193" s="13"/>
      <c r="F193" s="13"/>
      <c r="G193" s="13"/>
      <c r="H193" s="13"/>
      <c r="I193" s="13"/>
      <c r="J193" s="13"/>
    </row>
    <row r="194" spans="1:10" ht="15" customHeight="1">
      <c r="A194" s="13"/>
      <c r="B194" s="13"/>
      <c r="C194" s="5"/>
      <c r="D194" s="5"/>
      <c r="E194" s="13"/>
      <c r="F194" s="13"/>
      <c r="G194" s="13"/>
      <c r="H194" s="13"/>
      <c r="I194" s="13"/>
      <c r="J194" s="13"/>
    </row>
    <row r="195" spans="1:10" ht="15" customHeight="1">
      <c r="A195" s="13"/>
      <c r="B195" s="13"/>
      <c r="C195" s="5"/>
      <c r="D195" s="5"/>
      <c r="E195" s="13"/>
      <c r="F195" s="13"/>
      <c r="G195" s="13"/>
      <c r="H195" s="13"/>
      <c r="I195" s="13"/>
      <c r="J195" s="13"/>
    </row>
    <row r="196" spans="1:10" ht="15" customHeight="1">
      <c r="A196" s="13"/>
      <c r="B196" s="13"/>
      <c r="C196" s="5"/>
      <c r="D196" s="5"/>
      <c r="E196" s="13"/>
      <c r="F196" s="13"/>
      <c r="G196" s="13"/>
      <c r="H196" s="13"/>
      <c r="I196" s="13"/>
      <c r="J196" s="13"/>
    </row>
    <row r="197" spans="1:10" ht="15" customHeight="1">
      <c r="A197" s="13"/>
      <c r="B197" s="13"/>
      <c r="C197" s="5"/>
      <c r="D197" s="5"/>
      <c r="E197" s="13"/>
      <c r="F197" s="13"/>
      <c r="G197" s="13"/>
      <c r="H197" s="13"/>
      <c r="I197" s="13"/>
      <c r="J197" s="13"/>
    </row>
    <row r="198" spans="1:10" ht="15" customHeight="1">
      <c r="A198" s="13"/>
      <c r="B198" s="13"/>
      <c r="C198" s="5"/>
      <c r="D198" s="5"/>
      <c r="E198" s="13"/>
      <c r="F198" s="13"/>
      <c r="G198" s="13"/>
      <c r="H198" s="13"/>
      <c r="I198" s="13"/>
      <c r="J198" s="13"/>
    </row>
    <row r="199" spans="1:10" ht="15" customHeight="1">
      <c r="A199" s="13"/>
      <c r="B199" s="13"/>
      <c r="C199" s="5"/>
      <c r="D199" s="5"/>
      <c r="E199" s="13"/>
      <c r="F199" s="13"/>
      <c r="G199" s="13"/>
      <c r="H199" s="13"/>
      <c r="I199" s="13"/>
      <c r="J199" s="13"/>
    </row>
    <row r="200" spans="1:10" ht="15" customHeight="1">
      <c r="A200" s="13"/>
      <c r="B200" s="13"/>
      <c r="C200" s="5"/>
      <c r="D200" s="5"/>
      <c r="E200" s="13"/>
      <c r="F200" s="13"/>
      <c r="G200" s="13"/>
      <c r="H200" s="13"/>
      <c r="I200" s="13"/>
      <c r="J200" s="13"/>
    </row>
    <row r="201" spans="1:10" ht="15" customHeight="1">
      <c r="A201" s="13"/>
      <c r="B201" s="13"/>
      <c r="C201" s="5"/>
      <c r="D201" s="5"/>
      <c r="E201" s="13"/>
      <c r="F201" s="13"/>
      <c r="G201" s="13"/>
      <c r="H201" s="13"/>
      <c r="I201" s="13"/>
      <c r="J201" s="13"/>
    </row>
    <row r="202" spans="1:10" ht="15" customHeight="1">
      <c r="A202" s="13"/>
      <c r="B202" s="13"/>
      <c r="C202" s="5"/>
      <c r="D202" s="5"/>
      <c r="E202" s="13"/>
      <c r="F202" s="13"/>
      <c r="G202" s="13"/>
      <c r="H202" s="13"/>
      <c r="I202" s="13"/>
      <c r="J202" s="13"/>
    </row>
    <row r="203" spans="1:10" ht="15" customHeight="1">
      <c r="A203" s="13"/>
      <c r="B203" s="13"/>
      <c r="C203" s="5"/>
      <c r="D203" s="5"/>
      <c r="E203" s="13"/>
      <c r="F203" s="13"/>
      <c r="G203" s="13"/>
      <c r="H203" s="13"/>
      <c r="I203" s="13"/>
      <c r="J203" s="13"/>
    </row>
    <row r="204" spans="1:10" ht="15" customHeight="1">
      <c r="A204" s="13"/>
      <c r="B204" s="13"/>
      <c r="C204" s="5"/>
      <c r="D204" s="5"/>
      <c r="E204" s="13"/>
      <c r="F204" s="13"/>
      <c r="G204" s="13"/>
      <c r="H204" s="13"/>
      <c r="I204" s="13"/>
      <c r="J204" s="13"/>
    </row>
    <row r="205" spans="1:10" ht="15" customHeight="1">
      <c r="A205" s="13"/>
      <c r="B205" s="13"/>
      <c r="C205" s="5"/>
      <c r="D205" s="5"/>
      <c r="E205" s="13"/>
      <c r="F205" s="13"/>
      <c r="G205" s="13"/>
      <c r="H205" s="13"/>
      <c r="I205" s="13"/>
      <c r="J205" s="13"/>
    </row>
    <row r="206" spans="1:10" ht="15" customHeight="1">
      <c r="A206" s="13"/>
      <c r="B206" s="13"/>
      <c r="C206" s="5"/>
      <c r="D206" s="5"/>
      <c r="E206" s="13"/>
      <c r="F206" s="13"/>
      <c r="G206" s="13"/>
      <c r="H206" s="13"/>
      <c r="I206" s="13"/>
      <c r="J206" s="13"/>
    </row>
    <row r="207" spans="1:10" ht="15" customHeight="1">
      <c r="A207" s="13"/>
      <c r="B207" s="13"/>
      <c r="C207" s="5"/>
      <c r="D207" s="5"/>
      <c r="E207" s="13"/>
      <c r="F207" s="13"/>
      <c r="G207" s="13"/>
      <c r="H207" s="13"/>
      <c r="I207" s="13"/>
      <c r="J207" s="13"/>
    </row>
    <row r="208" spans="1:10" ht="15" customHeight="1">
      <c r="A208" s="13"/>
      <c r="B208" s="13"/>
      <c r="C208" s="5"/>
      <c r="D208" s="5"/>
      <c r="E208" s="13"/>
      <c r="F208" s="13"/>
      <c r="G208" s="13"/>
      <c r="H208" s="13"/>
      <c r="I208" s="13"/>
      <c r="J208" s="13"/>
    </row>
    <row r="209" spans="1:10" ht="15" customHeight="1">
      <c r="A209" s="13"/>
      <c r="B209" s="13"/>
      <c r="C209" s="5"/>
      <c r="D209" s="5"/>
      <c r="E209" s="13"/>
      <c r="F209" s="13"/>
      <c r="G209" s="13"/>
      <c r="H209" s="13"/>
      <c r="I209" s="13"/>
      <c r="J209" s="13"/>
    </row>
    <row r="210" spans="1:10" ht="15" customHeight="1">
      <c r="A210" s="13"/>
      <c r="B210" s="13"/>
      <c r="C210" s="5"/>
      <c r="D210" s="5"/>
      <c r="E210" s="13"/>
      <c r="F210" s="13"/>
      <c r="G210" s="13"/>
      <c r="H210" s="13"/>
      <c r="I210" s="13"/>
      <c r="J210" s="13"/>
    </row>
    <row r="211" spans="1:10" ht="15" customHeight="1">
      <c r="A211" s="13"/>
      <c r="B211" s="13"/>
      <c r="C211" s="5"/>
      <c r="D211" s="5"/>
      <c r="E211" s="13"/>
      <c r="F211" s="13"/>
      <c r="G211" s="13"/>
      <c r="H211" s="13"/>
      <c r="I211" s="13"/>
      <c r="J211" s="13"/>
    </row>
    <row r="212" spans="1:10" ht="15" customHeight="1">
      <c r="A212" s="13"/>
      <c r="B212" s="13"/>
      <c r="C212" s="5"/>
      <c r="D212" s="5"/>
      <c r="E212" s="13"/>
      <c r="F212" s="13"/>
      <c r="G212" s="13"/>
      <c r="H212" s="13"/>
      <c r="I212" s="13"/>
      <c r="J212" s="13"/>
    </row>
    <row r="213" spans="1:10" ht="15" customHeight="1">
      <c r="A213" s="13"/>
      <c r="B213" s="13"/>
      <c r="C213" s="5"/>
      <c r="D213" s="5"/>
      <c r="E213" s="13"/>
      <c r="F213" s="13"/>
      <c r="G213" s="13"/>
      <c r="H213" s="13"/>
      <c r="I213" s="13"/>
      <c r="J213" s="13"/>
    </row>
    <row r="214" spans="1:10" ht="15" customHeight="1">
      <c r="A214" s="13"/>
      <c r="B214" s="13"/>
      <c r="C214" s="5"/>
      <c r="D214" s="5"/>
      <c r="E214" s="13"/>
      <c r="F214" s="13"/>
      <c r="G214" s="13"/>
      <c r="H214" s="13"/>
      <c r="I214" s="13"/>
      <c r="J214" s="13"/>
    </row>
    <row r="215" spans="1:10" ht="15" customHeight="1">
      <c r="A215" s="13"/>
      <c r="B215" s="13"/>
      <c r="C215" s="5"/>
      <c r="D215" s="5"/>
      <c r="E215" s="13"/>
      <c r="F215" s="13"/>
      <c r="G215" s="13"/>
      <c r="H215" s="13"/>
      <c r="I215" s="13"/>
      <c r="J215" s="13"/>
    </row>
    <row r="216" spans="1:10" ht="15" customHeight="1">
      <c r="A216" s="13"/>
      <c r="B216" s="13"/>
      <c r="C216" s="5"/>
      <c r="D216" s="5"/>
      <c r="E216" s="13"/>
      <c r="F216" s="13"/>
      <c r="G216" s="13"/>
      <c r="H216" s="13"/>
      <c r="I216" s="13"/>
      <c r="J216" s="13"/>
    </row>
    <row r="217" spans="1:10" ht="15" customHeight="1">
      <c r="A217" s="13"/>
      <c r="B217" s="13"/>
      <c r="C217" s="5"/>
      <c r="D217" s="5"/>
      <c r="E217" s="13"/>
      <c r="F217" s="13"/>
      <c r="G217" s="13"/>
      <c r="H217" s="13"/>
      <c r="I217" s="13"/>
      <c r="J217" s="13"/>
    </row>
    <row r="218" spans="1:10" ht="15" customHeight="1">
      <c r="A218" s="13"/>
      <c r="B218" s="13"/>
      <c r="C218" s="5"/>
      <c r="D218" s="5"/>
      <c r="E218" s="13"/>
      <c r="F218" s="13"/>
      <c r="G218" s="13"/>
      <c r="H218" s="13"/>
      <c r="I218" s="13"/>
      <c r="J218" s="13"/>
    </row>
    <row r="219" spans="1:10" ht="15" customHeight="1">
      <c r="A219" s="13"/>
      <c r="B219" s="13"/>
      <c r="C219" s="5"/>
      <c r="D219" s="5"/>
      <c r="E219" s="13"/>
      <c r="F219" s="13"/>
      <c r="G219" s="13"/>
      <c r="H219" s="13"/>
      <c r="I219" s="13"/>
      <c r="J219" s="13"/>
    </row>
    <row r="220" spans="1:10" ht="15" customHeight="1">
      <c r="A220" s="13"/>
      <c r="B220" s="13"/>
      <c r="C220" s="5"/>
      <c r="D220" s="5"/>
      <c r="E220" s="13"/>
      <c r="F220" s="13"/>
      <c r="G220" s="13"/>
      <c r="H220" s="13"/>
      <c r="I220" s="13"/>
      <c r="J220" s="13"/>
    </row>
    <row r="221" spans="1:10" ht="15" customHeight="1">
      <c r="A221" s="13"/>
      <c r="B221" s="13"/>
      <c r="C221" s="5"/>
      <c r="D221" s="5"/>
      <c r="E221" s="13"/>
      <c r="F221" s="13"/>
      <c r="G221" s="13"/>
      <c r="H221" s="13"/>
      <c r="I221" s="13"/>
      <c r="J221" s="13"/>
    </row>
    <row r="222" spans="1:10" ht="15" customHeight="1">
      <c r="A222" s="13"/>
      <c r="B222" s="13"/>
      <c r="C222" s="5"/>
      <c r="D222" s="5"/>
      <c r="E222" s="13"/>
      <c r="F222" s="13"/>
      <c r="G222" s="13"/>
      <c r="H222" s="13"/>
      <c r="I222" s="13"/>
      <c r="J222" s="13"/>
    </row>
    <row r="223" spans="1:10" ht="15" customHeight="1">
      <c r="A223" s="13"/>
      <c r="B223" s="13"/>
      <c r="C223" s="5"/>
      <c r="D223" s="5"/>
      <c r="E223" s="13"/>
      <c r="F223" s="13"/>
      <c r="G223" s="13"/>
      <c r="H223" s="13"/>
      <c r="I223" s="13"/>
      <c r="J223" s="13"/>
    </row>
    <row r="224" spans="1:10" ht="15" customHeight="1">
      <c r="A224" s="13"/>
      <c r="B224" s="13"/>
      <c r="C224" s="5"/>
      <c r="D224" s="5"/>
      <c r="E224" s="13"/>
      <c r="F224" s="13"/>
      <c r="G224" s="13"/>
      <c r="H224" s="13"/>
      <c r="I224" s="13"/>
      <c r="J224" s="13"/>
    </row>
    <row r="225" spans="1:10" ht="15" customHeight="1">
      <c r="A225" s="13"/>
      <c r="B225" s="13"/>
      <c r="C225" s="5"/>
      <c r="D225" s="5"/>
      <c r="E225" s="13"/>
      <c r="F225" s="13"/>
      <c r="G225" s="13"/>
      <c r="H225" s="13"/>
      <c r="I225" s="13"/>
      <c r="J225" s="13"/>
    </row>
    <row r="226" spans="1:10" ht="15" customHeight="1">
      <c r="A226" s="13"/>
      <c r="B226" s="13"/>
      <c r="C226" s="5"/>
      <c r="D226" s="5"/>
      <c r="E226" s="13"/>
      <c r="F226" s="13"/>
      <c r="G226" s="13"/>
      <c r="H226" s="13"/>
      <c r="I226" s="13"/>
      <c r="J226" s="13"/>
    </row>
    <row r="227" spans="1:10" ht="15" customHeight="1">
      <c r="A227" s="13"/>
      <c r="B227" s="13"/>
      <c r="C227" s="5"/>
      <c r="D227" s="5"/>
      <c r="E227" s="13"/>
      <c r="F227" s="13"/>
      <c r="G227" s="13"/>
      <c r="H227" s="13"/>
      <c r="I227" s="13"/>
      <c r="J227" s="13"/>
    </row>
    <row r="228" spans="1:10" ht="15" customHeight="1">
      <c r="A228" s="13"/>
      <c r="B228" s="13"/>
      <c r="C228" s="5"/>
      <c r="D228" s="5"/>
      <c r="E228" s="13"/>
      <c r="F228" s="13"/>
      <c r="G228" s="13"/>
      <c r="H228" s="13"/>
      <c r="I228" s="13"/>
      <c r="J228" s="13"/>
    </row>
    <row r="229" spans="1:10" ht="15" customHeight="1">
      <c r="A229" s="13"/>
      <c r="B229" s="13"/>
      <c r="C229" s="5"/>
      <c r="D229" s="5"/>
      <c r="E229" s="13"/>
      <c r="F229" s="13"/>
      <c r="G229" s="13"/>
      <c r="H229" s="13"/>
      <c r="I229" s="13"/>
      <c r="J229" s="13"/>
    </row>
    <row r="230" spans="1:10" ht="15" customHeight="1">
      <c r="A230" s="13"/>
      <c r="B230" s="13"/>
      <c r="C230" s="5"/>
      <c r="D230" s="5"/>
      <c r="E230" s="13"/>
      <c r="F230" s="13"/>
      <c r="G230" s="13"/>
      <c r="H230" s="13"/>
      <c r="I230" s="13"/>
      <c r="J230" s="13"/>
    </row>
    <row r="231" spans="1:10" ht="15" customHeight="1">
      <c r="A231" s="13"/>
      <c r="B231" s="13"/>
      <c r="C231" s="5"/>
      <c r="D231" s="5"/>
      <c r="E231" s="13"/>
      <c r="F231" s="13"/>
      <c r="G231" s="13"/>
      <c r="H231" s="13"/>
      <c r="I231" s="13"/>
      <c r="J231" s="13"/>
    </row>
    <row r="232" spans="1:10" ht="15" customHeight="1">
      <c r="A232" s="13"/>
      <c r="B232" s="13"/>
      <c r="C232" s="5"/>
      <c r="D232" s="5"/>
      <c r="E232" s="13"/>
      <c r="F232" s="13"/>
      <c r="G232" s="13"/>
      <c r="H232" s="13"/>
      <c r="I232" s="13"/>
      <c r="J232" s="13"/>
    </row>
    <row r="233" spans="1:10" ht="15" customHeight="1">
      <c r="A233" s="13"/>
      <c r="B233" s="13"/>
      <c r="C233" s="5"/>
      <c r="D233" s="5"/>
      <c r="E233" s="13"/>
      <c r="F233" s="13"/>
      <c r="G233" s="13"/>
      <c r="H233" s="13"/>
      <c r="I233" s="13"/>
      <c r="J233" s="13"/>
    </row>
    <row r="234" spans="1:10" ht="15" customHeight="1">
      <c r="A234" s="13"/>
      <c r="B234" s="13"/>
      <c r="C234" s="5"/>
      <c r="D234" s="5"/>
      <c r="E234" s="13"/>
      <c r="F234" s="13"/>
      <c r="G234" s="13"/>
      <c r="H234" s="13"/>
      <c r="I234" s="13"/>
      <c r="J234" s="13"/>
    </row>
    <row r="235" spans="1:10" ht="15" customHeight="1">
      <c r="A235" s="13"/>
      <c r="B235" s="13"/>
      <c r="C235" s="5"/>
      <c r="D235" s="5"/>
      <c r="E235" s="13"/>
      <c r="F235" s="13"/>
      <c r="G235" s="13"/>
      <c r="H235" s="13"/>
      <c r="I235" s="13"/>
      <c r="J235" s="13"/>
    </row>
    <row r="236" spans="1:10" ht="15" customHeight="1">
      <c r="A236" s="13"/>
      <c r="B236" s="13"/>
      <c r="C236" s="5"/>
      <c r="D236" s="5"/>
      <c r="E236" s="13"/>
      <c r="F236" s="13"/>
      <c r="G236" s="13"/>
      <c r="H236" s="13"/>
      <c r="I236" s="13"/>
      <c r="J236" s="13"/>
    </row>
    <row r="237" spans="1:10" ht="15" customHeight="1">
      <c r="A237" s="13"/>
      <c r="B237" s="13"/>
      <c r="C237" s="5"/>
      <c r="D237" s="5"/>
      <c r="E237" s="13"/>
      <c r="F237" s="13"/>
      <c r="G237" s="13"/>
      <c r="H237" s="13"/>
      <c r="I237" s="13"/>
      <c r="J237" s="13"/>
    </row>
    <row r="238" spans="1:10" ht="15" customHeight="1">
      <c r="A238" s="13"/>
      <c r="B238" s="13"/>
      <c r="C238" s="5"/>
      <c r="D238" s="5"/>
      <c r="E238" s="13"/>
      <c r="F238" s="13"/>
      <c r="G238" s="13"/>
      <c r="H238" s="13"/>
      <c r="I238" s="13"/>
      <c r="J238" s="13"/>
    </row>
    <row r="239" spans="1:10" ht="15" customHeight="1">
      <c r="A239" s="13"/>
      <c r="B239" s="13"/>
      <c r="C239" s="5"/>
      <c r="D239" s="5"/>
      <c r="E239" s="13"/>
      <c r="F239" s="13"/>
      <c r="G239" s="13"/>
      <c r="H239" s="13"/>
      <c r="I239" s="13"/>
      <c r="J239" s="13"/>
    </row>
    <row r="240" spans="1:10" ht="15" customHeight="1">
      <c r="A240" s="13"/>
      <c r="B240" s="13"/>
      <c r="C240" s="5"/>
      <c r="D240" s="5"/>
      <c r="E240" s="13"/>
      <c r="F240" s="13"/>
      <c r="G240" s="13"/>
      <c r="H240" s="13"/>
      <c r="I240" s="13"/>
      <c r="J240" s="13"/>
    </row>
    <row r="241" spans="1:10" ht="15" customHeight="1">
      <c r="A241" s="13"/>
      <c r="B241" s="13"/>
      <c r="C241" s="5"/>
      <c r="D241" s="5"/>
      <c r="E241" s="13"/>
      <c r="F241" s="13"/>
      <c r="G241" s="13"/>
      <c r="H241" s="13"/>
      <c r="I241" s="13"/>
      <c r="J241" s="13"/>
    </row>
    <row r="242" spans="1:10" ht="15" customHeight="1">
      <c r="A242" s="13"/>
      <c r="B242" s="13"/>
      <c r="C242" s="5"/>
      <c r="D242" s="5"/>
      <c r="E242" s="13"/>
      <c r="F242" s="13"/>
      <c r="G242" s="13"/>
      <c r="H242" s="13"/>
      <c r="I242" s="13"/>
      <c r="J242" s="13"/>
    </row>
    <row r="243" spans="1:10" ht="15" customHeight="1">
      <c r="A243" s="13"/>
      <c r="B243" s="13"/>
      <c r="C243" s="5"/>
      <c r="D243" s="5"/>
      <c r="E243" s="13"/>
      <c r="F243" s="13"/>
      <c r="G243" s="13"/>
      <c r="H243" s="13"/>
      <c r="I243" s="13"/>
      <c r="J243" s="13"/>
    </row>
    <row r="244" spans="1:10" ht="15" customHeight="1">
      <c r="A244" s="13"/>
      <c r="B244" s="13"/>
      <c r="C244" s="5"/>
      <c r="D244" s="5"/>
      <c r="E244" s="13"/>
      <c r="F244" s="13"/>
      <c r="G244" s="13"/>
      <c r="H244" s="13"/>
      <c r="I244" s="13"/>
      <c r="J244" s="13"/>
    </row>
    <row r="245" spans="1:10" ht="15" customHeight="1">
      <c r="A245" s="13"/>
      <c r="B245" s="13"/>
      <c r="C245" s="5"/>
      <c r="D245" s="5"/>
      <c r="E245" s="13"/>
      <c r="F245" s="13"/>
      <c r="G245" s="13"/>
      <c r="H245" s="13"/>
      <c r="I245" s="13"/>
      <c r="J245" s="13"/>
    </row>
    <row r="246" spans="1:10" ht="15" customHeight="1">
      <c r="A246" s="13"/>
      <c r="B246" s="13"/>
      <c r="C246" s="5"/>
      <c r="D246" s="5"/>
      <c r="E246" s="13"/>
      <c r="F246" s="13"/>
      <c r="G246" s="13"/>
      <c r="H246" s="13"/>
      <c r="I246" s="13"/>
      <c r="J246" s="13"/>
    </row>
    <row r="247" spans="1:10" ht="15" customHeight="1">
      <c r="A247" s="13"/>
      <c r="B247" s="13"/>
      <c r="C247" s="5"/>
      <c r="D247" s="5"/>
      <c r="E247" s="13"/>
      <c r="F247" s="13"/>
      <c r="G247" s="13"/>
      <c r="H247" s="13"/>
      <c r="I247" s="13"/>
      <c r="J247" s="13"/>
    </row>
    <row r="248" spans="1:10" ht="15" customHeight="1">
      <c r="A248" s="13"/>
      <c r="B248" s="13"/>
      <c r="C248" s="5"/>
      <c r="D248" s="5"/>
      <c r="E248" s="13"/>
      <c r="F248" s="13"/>
      <c r="G248" s="13"/>
      <c r="H248" s="13"/>
      <c r="I248" s="13"/>
      <c r="J248" s="13"/>
    </row>
    <row r="249" spans="1:10" ht="15" customHeight="1">
      <c r="A249" s="13"/>
      <c r="B249" s="13"/>
      <c r="C249" s="5"/>
      <c r="D249" s="5"/>
      <c r="E249" s="13"/>
      <c r="F249" s="13"/>
      <c r="G249" s="13"/>
      <c r="H249" s="13"/>
      <c r="I249" s="13"/>
      <c r="J249" s="13"/>
    </row>
    <row r="250" spans="1:10" ht="15" customHeight="1">
      <c r="A250" s="13"/>
      <c r="B250" s="13"/>
      <c r="C250" s="5"/>
      <c r="D250" s="5"/>
      <c r="E250" s="13"/>
      <c r="F250" s="13"/>
      <c r="G250" s="13"/>
      <c r="H250" s="13"/>
      <c r="I250" s="13"/>
      <c r="J250" s="13"/>
    </row>
    <row r="251" spans="1:10" ht="15" customHeight="1">
      <c r="A251" s="13"/>
      <c r="B251" s="13"/>
      <c r="C251" s="5"/>
      <c r="D251" s="5"/>
      <c r="E251" s="13"/>
      <c r="F251" s="13"/>
      <c r="G251" s="13"/>
      <c r="H251" s="13"/>
      <c r="I251" s="13"/>
      <c r="J251" s="13"/>
    </row>
    <row r="252" spans="1:10" ht="15" customHeight="1">
      <c r="A252" s="13"/>
      <c r="B252" s="13"/>
      <c r="C252" s="5"/>
      <c r="D252" s="5"/>
      <c r="E252" s="13"/>
      <c r="F252" s="13"/>
      <c r="G252" s="13"/>
      <c r="H252" s="13"/>
      <c r="I252" s="13"/>
      <c r="J252" s="13"/>
    </row>
    <row r="253" spans="1:10" ht="15" customHeight="1">
      <c r="A253" s="13"/>
      <c r="B253" s="13"/>
      <c r="C253" s="5"/>
      <c r="D253" s="5"/>
      <c r="E253" s="13"/>
      <c r="F253" s="13"/>
      <c r="G253" s="13"/>
      <c r="H253" s="13"/>
      <c r="I253" s="13"/>
      <c r="J253" s="13"/>
    </row>
    <row r="254" spans="1:10" ht="15" customHeight="1">
      <c r="A254" s="13"/>
      <c r="B254" s="13"/>
      <c r="C254" s="5"/>
      <c r="D254" s="5"/>
      <c r="E254" s="13"/>
      <c r="F254" s="13"/>
      <c r="G254" s="13"/>
      <c r="H254" s="13"/>
      <c r="I254" s="13"/>
      <c r="J254" s="13"/>
    </row>
    <row r="255" spans="1:10" ht="15" customHeight="1">
      <c r="A255" s="13"/>
      <c r="B255" s="13"/>
      <c r="C255" s="5"/>
      <c r="D255" s="5"/>
      <c r="E255" s="13"/>
      <c r="F255" s="13"/>
      <c r="G255" s="13"/>
      <c r="H255" s="13"/>
      <c r="I255" s="13"/>
      <c r="J255" s="13"/>
    </row>
    <row r="256" spans="1:10" ht="15" customHeight="1">
      <c r="A256" s="13"/>
      <c r="B256" s="13"/>
      <c r="C256" s="5"/>
      <c r="D256" s="5"/>
      <c r="E256" s="13"/>
      <c r="F256" s="13"/>
      <c r="G256" s="13"/>
      <c r="H256" s="13"/>
      <c r="I256" s="13"/>
      <c r="J256" s="13"/>
    </row>
    <row r="257" spans="1:10" ht="15" customHeight="1">
      <c r="A257" s="13"/>
      <c r="B257" s="13"/>
      <c r="C257" s="5"/>
      <c r="D257" s="5"/>
      <c r="E257" s="13"/>
      <c r="F257" s="13"/>
      <c r="G257" s="13"/>
      <c r="H257" s="13"/>
      <c r="I257" s="13"/>
      <c r="J257" s="13"/>
    </row>
    <row r="258" spans="1:10" ht="15" customHeight="1">
      <c r="A258" s="13"/>
      <c r="B258" s="13"/>
      <c r="C258" s="5"/>
      <c r="D258" s="5"/>
      <c r="E258" s="13"/>
      <c r="F258" s="13"/>
      <c r="G258" s="13"/>
      <c r="H258" s="13"/>
      <c r="I258" s="13"/>
      <c r="J258" s="13"/>
    </row>
  </sheetData>
  <mergeCells count="1">
    <mergeCell ref="A1:J1"/>
  </mergeCells>
  <conditionalFormatting sqref="E3:E299">
    <cfRule type="expression" dxfId="5" priority="22">
      <formula>$D3="Fixed"</formula>
    </cfRule>
  </conditionalFormatting>
  <conditionalFormatting sqref="F3:F299">
    <cfRule type="expression" dxfId="4" priority="23">
      <formula>OR($D3="Triangular",$D3="Beta-PERT",$D3="Uniform")</formula>
    </cfRule>
  </conditionalFormatting>
  <conditionalFormatting sqref="G3:G299">
    <cfRule type="expression" dxfId="3" priority="24">
      <formula>OR($D3="Triangular",$D3="Beta-PERT")</formula>
    </cfRule>
  </conditionalFormatting>
  <conditionalFormatting sqref="H3:H299">
    <cfRule type="expression" dxfId="2" priority="25">
      <formula>OR($D3="Triangular",$D3="Beta-PERT",$D3="Uniform")</formula>
    </cfRule>
  </conditionalFormatting>
  <conditionalFormatting sqref="I3:I299">
    <cfRule type="expression" dxfId="1" priority="26">
      <formula>OR($D3="Normal",$D3="Exponential",$D3="Lognormal",$D3="Gamma")</formula>
    </cfRule>
  </conditionalFormatting>
  <conditionalFormatting sqref="J3:J299">
    <cfRule type="expression" dxfId="1" priority="27">
      <formula>OR($D3="Normal",$D3="Lognormal",$D3="Gamma")</formula>
    </cfRule>
  </conditionalFormatting>
  <dataValidations count="2">
    <dataValidation type="list" allowBlank="1" showErrorMessage="1" errorTitle="Invalid input" error="Enter a value from the documented options or range." sqref="C3:C299" xr:uid="{00000000-0002-0000-0400-000000000000}">
      <formula1>"Duration,Cost"</formula1>
    </dataValidation>
    <dataValidation type="list" allowBlank="1" showErrorMessage="1" errorTitle="Invalid input" error="Enter a value from the documented options or range." sqref="D3:D299" xr:uid="{00000000-0002-0000-0400-000001000000}">
      <formula1>"Fixed,Triangular,Beta-PERT,Uniform,Normal,Exponential,Lognormal,Gamma"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9"/>
  <sheetViews>
    <sheetView tabSelected="1" workbookViewId="0">
      <selection activeCell="J28" sqref="J28"/>
    </sheetView>
  </sheetViews>
  <sheetFormatPr defaultRowHeight="15"/>
  <cols>
    <col min="1" max="1" width="12" style="9" customWidth="1"/>
    <col min="2" max="2" width="10.875" style="9" customWidth="1"/>
    <col min="3" max="3" width="17" style="9" customWidth="1"/>
    <col min="4" max="4" width="19" style="2" customWidth="1"/>
    <col min="5" max="5" width="7.75" style="2" customWidth="1"/>
    <col min="6" max="6" width="42" style="2" customWidth="1"/>
    <col min="7" max="16384" width="9" style="2"/>
  </cols>
  <sheetData>
    <row r="1" spans="1:6" s="1" customFormat="1" ht="18" customHeight="1">
      <c r="A1" s="53" t="s">
        <v>695</v>
      </c>
      <c r="B1" s="54"/>
      <c r="C1" s="54"/>
      <c r="D1" s="54"/>
      <c r="E1" s="54"/>
      <c r="F1" s="54"/>
    </row>
    <row r="2" spans="1:6" ht="21.75" customHeight="1">
      <c r="A2" s="15" t="s">
        <v>512</v>
      </c>
      <c r="B2" s="15" t="s">
        <v>513</v>
      </c>
      <c r="C2" s="15" t="s">
        <v>514</v>
      </c>
      <c r="D2" s="15" t="s">
        <v>515</v>
      </c>
      <c r="E2" s="15" t="s">
        <v>237</v>
      </c>
      <c r="F2" s="15" t="s">
        <v>236</v>
      </c>
    </row>
    <row r="3" spans="1:6" ht="15" customHeight="1">
      <c r="A3" s="21"/>
      <c r="B3" s="21"/>
      <c r="C3" s="21"/>
      <c r="D3" s="17"/>
      <c r="E3" s="17"/>
      <c r="F3" s="17"/>
    </row>
    <row r="4" spans="1:6" ht="15" customHeight="1">
      <c r="A4" s="21"/>
      <c r="B4" s="21"/>
      <c r="C4" s="21"/>
      <c r="D4" s="17"/>
      <c r="E4" s="17"/>
      <c r="F4" s="17"/>
    </row>
    <row r="5" spans="1:6" ht="15" customHeight="1">
      <c r="A5" s="21"/>
      <c r="B5" s="21"/>
      <c r="C5" s="21"/>
      <c r="D5" s="17"/>
      <c r="E5" s="17"/>
      <c r="F5" s="17"/>
    </row>
    <row r="6" spans="1:6" ht="15" customHeight="1">
      <c r="A6" s="21"/>
      <c r="B6" s="21"/>
      <c r="C6" s="21"/>
      <c r="D6" s="17"/>
      <c r="E6" s="17"/>
      <c r="F6" s="17"/>
    </row>
    <row r="7" spans="1:6" ht="15" customHeight="1">
      <c r="A7" s="21"/>
      <c r="B7" s="21"/>
      <c r="C7" s="21"/>
      <c r="D7" s="17"/>
      <c r="E7" s="17"/>
      <c r="F7" s="17"/>
    </row>
    <row r="8" spans="1:6" ht="15" customHeight="1">
      <c r="A8" s="21"/>
      <c r="B8" s="21"/>
      <c r="C8" s="21"/>
      <c r="D8" s="17"/>
      <c r="E8" s="17"/>
      <c r="F8" s="17"/>
    </row>
    <row r="9" spans="1:6" ht="15" customHeight="1">
      <c r="A9" s="21"/>
      <c r="B9" s="21"/>
      <c r="C9" s="21"/>
      <c r="D9" s="17"/>
      <c r="E9" s="17"/>
      <c r="F9" s="17"/>
    </row>
    <row r="10" spans="1:6" ht="15" customHeight="1">
      <c r="A10" s="21"/>
      <c r="B10" s="21"/>
      <c r="C10" s="21"/>
      <c r="D10" s="17"/>
      <c r="E10" s="17"/>
      <c r="F10" s="17"/>
    </row>
    <row r="11" spans="1:6" ht="15" customHeight="1">
      <c r="A11" s="21"/>
      <c r="B11" s="21"/>
      <c r="C11" s="21"/>
      <c r="D11" s="17"/>
      <c r="E11" s="17"/>
      <c r="F11" s="17"/>
    </row>
    <row r="12" spans="1:6" ht="15" customHeight="1">
      <c r="A12" s="21"/>
      <c r="B12" s="21"/>
      <c r="C12" s="21"/>
      <c r="D12" s="17"/>
      <c r="E12" s="17"/>
      <c r="F12" s="17"/>
    </row>
    <row r="13" spans="1:6" ht="15" customHeight="1">
      <c r="A13" s="21"/>
      <c r="B13" s="21"/>
      <c r="C13" s="21"/>
      <c r="D13" s="17"/>
      <c r="E13" s="17"/>
      <c r="F13" s="17"/>
    </row>
    <row r="14" spans="1:6">
      <c r="A14" s="38"/>
      <c r="B14" s="38"/>
      <c r="C14" s="38"/>
      <c r="D14" s="37"/>
      <c r="E14" s="37"/>
      <c r="F14" s="37"/>
    </row>
    <row r="15" spans="1:6">
      <c r="A15" s="38"/>
      <c r="B15" s="38"/>
      <c r="C15" s="38"/>
      <c r="D15" s="37"/>
      <c r="E15" s="37"/>
      <c r="F15" s="37"/>
    </row>
    <row r="16" spans="1:6">
      <c r="A16" s="38"/>
      <c r="B16" s="38"/>
      <c r="C16" s="38"/>
      <c r="D16" s="37"/>
      <c r="E16" s="37"/>
      <c r="F16" s="37"/>
    </row>
    <row r="17" spans="1:6">
      <c r="A17" s="38"/>
      <c r="B17" s="38"/>
      <c r="C17" s="38"/>
      <c r="D17" s="37"/>
      <c r="E17" s="37"/>
      <c r="F17" s="37"/>
    </row>
    <row r="18" spans="1:6">
      <c r="A18" s="38"/>
      <c r="B18" s="38"/>
      <c r="C18" s="38"/>
      <c r="D18" s="37"/>
      <c r="E18" s="37"/>
      <c r="F18" s="37"/>
    </row>
    <row r="19" spans="1:6">
      <c r="A19" s="38"/>
      <c r="B19" s="38"/>
      <c r="C19" s="38"/>
      <c r="D19" s="37"/>
      <c r="E19" s="37"/>
      <c r="F19" s="37"/>
    </row>
    <row r="20" spans="1:6">
      <c r="A20" s="38"/>
      <c r="B20" s="38"/>
      <c r="C20" s="38"/>
      <c r="D20" s="37"/>
      <c r="E20" s="37"/>
      <c r="F20" s="37"/>
    </row>
    <row r="21" spans="1:6">
      <c r="A21" s="38"/>
      <c r="B21" s="38"/>
      <c r="C21" s="38"/>
      <c r="D21" s="37"/>
      <c r="E21" s="37"/>
      <c r="F21" s="37"/>
    </row>
    <row r="22" spans="1:6">
      <c r="A22" s="38"/>
      <c r="B22" s="38"/>
      <c r="C22" s="38"/>
      <c r="D22" s="37"/>
      <c r="E22" s="37"/>
      <c r="F22" s="37"/>
    </row>
    <row r="23" spans="1:6">
      <c r="A23" s="38"/>
      <c r="B23" s="38"/>
      <c r="C23" s="38"/>
      <c r="D23" s="37"/>
      <c r="E23" s="37"/>
      <c r="F23" s="37"/>
    </row>
    <row r="24" spans="1:6">
      <c r="A24" s="38"/>
      <c r="B24" s="38"/>
      <c r="C24" s="38"/>
      <c r="D24" s="37"/>
      <c r="E24" s="37"/>
      <c r="F24" s="37"/>
    </row>
    <row r="25" spans="1:6">
      <c r="A25" s="38"/>
      <c r="B25" s="38"/>
      <c r="C25" s="38"/>
      <c r="D25" s="37"/>
      <c r="E25" s="37"/>
      <c r="F25" s="37"/>
    </row>
    <row r="26" spans="1:6">
      <c r="A26" s="38"/>
      <c r="B26" s="38"/>
      <c r="C26" s="38"/>
      <c r="D26" s="37"/>
      <c r="E26" s="37"/>
      <c r="F26" s="37"/>
    </row>
    <row r="27" spans="1:6">
      <c r="A27" s="38"/>
      <c r="B27" s="38"/>
      <c r="C27" s="38"/>
      <c r="D27" s="37"/>
      <c r="E27" s="37"/>
      <c r="F27" s="37"/>
    </row>
    <row r="28" spans="1:6">
      <c r="A28" s="38"/>
      <c r="B28" s="38"/>
      <c r="C28" s="38"/>
      <c r="D28" s="37"/>
      <c r="E28" s="37"/>
      <c r="F28" s="37"/>
    </row>
    <row r="29" spans="1:6">
      <c r="A29" s="38"/>
      <c r="B29" s="38"/>
      <c r="C29" s="38"/>
      <c r="D29" s="37"/>
      <c r="E29" s="37"/>
      <c r="F29" s="37"/>
    </row>
    <row r="30" spans="1:6">
      <c r="A30" s="38"/>
      <c r="B30" s="38"/>
      <c r="C30" s="38"/>
      <c r="D30" s="37"/>
      <c r="E30" s="37"/>
      <c r="F30" s="37"/>
    </row>
    <row r="31" spans="1:6">
      <c r="A31" s="38"/>
      <c r="B31" s="38"/>
      <c r="C31" s="38"/>
      <c r="D31" s="37"/>
      <c r="E31" s="37"/>
      <c r="F31" s="37"/>
    </row>
    <row r="32" spans="1:6">
      <c r="A32" s="38"/>
      <c r="B32" s="38"/>
      <c r="C32" s="38"/>
      <c r="D32" s="37"/>
      <c r="E32" s="37"/>
      <c r="F32" s="37"/>
    </row>
    <row r="33" spans="1:6">
      <c r="A33" s="38"/>
      <c r="B33" s="38"/>
      <c r="C33" s="38"/>
      <c r="D33" s="37"/>
      <c r="E33" s="37"/>
      <c r="F33" s="37"/>
    </row>
    <row r="34" spans="1:6">
      <c r="A34" s="38"/>
      <c r="B34" s="38"/>
      <c r="C34" s="38"/>
      <c r="D34" s="37"/>
      <c r="E34" s="37"/>
      <c r="F34" s="37"/>
    </row>
    <row r="35" spans="1:6">
      <c r="A35" s="38"/>
      <c r="B35" s="38"/>
      <c r="C35" s="38"/>
      <c r="D35" s="37"/>
      <c r="E35" s="37"/>
      <c r="F35" s="37"/>
    </row>
    <row r="36" spans="1:6">
      <c r="A36" s="38"/>
      <c r="B36" s="38"/>
      <c r="C36" s="38"/>
      <c r="D36" s="37"/>
      <c r="E36" s="37"/>
      <c r="F36" s="37"/>
    </row>
    <row r="37" spans="1:6">
      <c r="A37" s="38"/>
      <c r="B37" s="38"/>
      <c r="C37" s="38"/>
      <c r="D37" s="37"/>
      <c r="E37" s="37"/>
      <c r="F37" s="37"/>
    </row>
    <row r="38" spans="1:6">
      <c r="A38" s="38"/>
      <c r="B38" s="38"/>
      <c r="C38" s="38"/>
      <c r="D38" s="37"/>
      <c r="E38" s="37"/>
      <c r="F38" s="37"/>
    </row>
    <row r="39" spans="1:6">
      <c r="A39" s="38"/>
      <c r="B39" s="38"/>
      <c r="C39" s="38"/>
      <c r="D39" s="37"/>
      <c r="E39" s="37"/>
      <c r="F39" s="37"/>
    </row>
    <row r="40" spans="1:6">
      <c r="A40" s="38"/>
      <c r="B40" s="38"/>
      <c r="C40" s="38"/>
      <c r="D40" s="37"/>
      <c r="E40" s="37"/>
      <c r="F40" s="37"/>
    </row>
    <row r="41" spans="1:6">
      <c r="A41" s="38"/>
      <c r="B41" s="38"/>
      <c r="C41" s="38"/>
      <c r="D41" s="37"/>
      <c r="E41" s="37"/>
      <c r="F41" s="37"/>
    </row>
    <row r="42" spans="1:6">
      <c r="A42" s="38"/>
      <c r="B42" s="38"/>
      <c r="C42" s="38"/>
      <c r="D42" s="37"/>
      <c r="E42" s="37"/>
      <c r="F42" s="37"/>
    </row>
    <row r="43" spans="1:6">
      <c r="A43" s="38"/>
      <c r="B43" s="38"/>
      <c r="C43" s="38"/>
      <c r="D43" s="37"/>
      <c r="E43" s="37"/>
      <c r="F43" s="37"/>
    </row>
    <row r="44" spans="1:6">
      <c r="A44" s="38"/>
      <c r="B44" s="38"/>
      <c r="C44" s="38"/>
      <c r="D44" s="37"/>
      <c r="E44" s="37"/>
      <c r="F44" s="37"/>
    </row>
    <row r="45" spans="1:6">
      <c r="A45" s="38"/>
      <c r="B45" s="38"/>
      <c r="C45" s="38"/>
      <c r="D45" s="37"/>
      <c r="E45" s="37"/>
      <c r="F45" s="37"/>
    </row>
    <row r="46" spans="1:6">
      <c r="A46" s="38"/>
      <c r="B46" s="38"/>
      <c r="C46" s="38"/>
      <c r="D46" s="37"/>
      <c r="E46" s="37"/>
      <c r="F46" s="37"/>
    </row>
    <row r="47" spans="1:6">
      <c r="A47" s="38"/>
      <c r="B47" s="38"/>
      <c r="C47" s="38"/>
      <c r="D47" s="37"/>
      <c r="E47" s="37"/>
      <c r="F47" s="37"/>
    </row>
    <row r="48" spans="1:6">
      <c r="A48" s="38"/>
      <c r="B48" s="38"/>
      <c r="C48" s="38"/>
      <c r="D48" s="37"/>
      <c r="E48" s="37"/>
      <c r="F48" s="37"/>
    </row>
    <row r="49" spans="1:6">
      <c r="A49" s="38"/>
      <c r="B49" s="38"/>
      <c r="C49" s="38"/>
      <c r="D49" s="37"/>
      <c r="E49" s="37"/>
      <c r="F49" s="37"/>
    </row>
    <row r="50" spans="1:6">
      <c r="A50" s="38"/>
      <c r="B50" s="38"/>
      <c r="C50" s="38"/>
      <c r="D50" s="37"/>
      <c r="E50" s="37"/>
      <c r="F50" s="37"/>
    </row>
    <row r="51" spans="1:6">
      <c r="A51" s="38"/>
      <c r="B51" s="38"/>
      <c r="C51" s="38"/>
      <c r="D51" s="37"/>
      <c r="E51" s="37"/>
      <c r="F51" s="37"/>
    </row>
    <row r="52" spans="1:6">
      <c r="A52" s="38"/>
      <c r="B52" s="38"/>
      <c r="C52" s="38"/>
      <c r="D52" s="37"/>
      <c r="E52" s="37"/>
      <c r="F52" s="37"/>
    </row>
    <row r="53" spans="1:6">
      <c r="A53" s="38"/>
      <c r="B53" s="38"/>
      <c r="C53" s="38"/>
      <c r="D53" s="37"/>
      <c r="E53" s="37"/>
      <c r="F53" s="37"/>
    </row>
    <row r="54" spans="1:6">
      <c r="A54" s="38"/>
      <c r="B54" s="38"/>
      <c r="C54" s="38"/>
      <c r="D54" s="37"/>
      <c r="E54" s="37"/>
      <c r="F54" s="37"/>
    </row>
    <row r="55" spans="1:6">
      <c r="A55" s="38"/>
      <c r="B55" s="38"/>
      <c r="C55" s="38"/>
      <c r="D55" s="37"/>
      <c r="E55" s="37"/>
      <c r="F55" s="37"/>
    </row>
    <row r="56" spans="1:6">
      <c r="A56" s="38"/>
      <c r="B56" s="38"/>
      <c r="C56" s="38"/>
      <c r="D56" s="37"/>
      <c r="E56" s="37"/>
      <c r="F56" s="37"/>
    </row>
    <row r="57" spans="1:6">
      <c r="A57" s="38"/>
      <c r="B57" s="38"/>
      <c r="C57" s="38"/>
      <c r="D57" s="37"/>
      <c r="E57" s="37"/>
      <c r="F57" s="37"/>
    </row>
    <row r="58" spans="1:6">
      <c r="A58" s="38"/>
      <c r="B58" s="38"/>
      <c r="C58" s="38"/>
      <c r="D58" s="37"/>
      <c r="E58" s="37"/>
      <c r="F58" s="37"/>
    </row>
    <row r="59" spans="1:6">
      <c r="A59" s="38"/>
      <c r="B59" s="38"/>
      <c r="C59" s="38"/>
      <c r="D59" s="37"/>
      <c r="E59" s="37"/>
      <c r="F59" s="37"/>
    </row>
    <row r="60" spans="1:6">
      <c r="A60" s="38"/>
      <c r="B60" s="38"/>
      <c r="C60" s="38"/>
      <c r="D60" s="37"/>
      <c r="E60" s="37"/>
      <c r="F60" s="37"/>
    </row>
    <row r="61" spans="1:6">
      <c r="A61" s="38"/>
      <c r="B61" s="38"/>
      <c r="C61" s="38"/>
      <c r="D61" s="37"/>
      <c r="E61" s="37"/>
      <c r="F61" s="37"/>
    </row>
    <row r="62" spans="1:6">
      <c r="A62" s="38"/>
      <c r="B62" s="38"/>
      <c r="C62" s="38"/>
      <c r="D62" s="37"/>
      <c r="E62" s="37"/>
      <c r="F62" s="37"/>
    </row>
    <row r="63" spans="1:6">
      <c r="A63" s="38"/>
      <c r="B63" s="38"/>
      <c r="C63" s="38"/>
      <c r="D63" s="37"/>
      <c r="E63" s="37"/>
      <c r="F63" s="37"/>
    </row>
    <row r="64" spans="1:6">
      <c r="A64" s="38"/>
      <c r="B64" s="38"/>
      <c r="C64" s="38"/>
      <c r="D64" s="37"/>
      <c r="E64" s="37"/>
      <c r="F64" s="37"/>
    </row>
    <row r="65" spans="1:6">
      <c r="A65" s="38"/>
      <c r="B65" s="38"/>
      <c r="C65" s="38"/>
      <c r="D65" s="37"/>
      <c r="E65" s="37"/>
      <c r="F65" s="37"/>
    </row>
    <row r="66" spans="1:6">
      <c r="A66" s="38"/>
      <c r="B66" s="38"/>
      <c r="C66" s="38"/>
      <c r="D66" s="37"/>
      <c r="E66" s="37"/>
      <c r="F66" s="37"/>
    </row>
    <row r="67" spans="1:6">
      <c r="A67" s="38"/>
      <c r="B67" s="38"/>
      <c r="C67" s="38"/>
      <c r="D67" s="37"/>
      <c r="E67" s="37"/>
      <c r="F67" s="37"/>
    </row>
    <row r="68" spans="1:6">
      <c r="A68" s="38"/>
      <c r="B68" s="38"/>
      <c r="C68" s="38"/>
      <c r="D68" s="37"/>
      <c r="E68" s="37"/>
      <c r="F68" s="37"/>
    </row>
    <row r="69" spans="1:6">
      <c r="A69" s="38"/>
      <c r="B69" s="38"/>
      <c r="C69" s="38"/>
      <c r="D69" s="37"/>
      <c r="E69" s="37"/>
      <c r="F69" s="37"/>
    </row>
    <row r="70" spans="1:6">
      <c r="A70" s="38"/>
      <c r="B70" s="38"/>
      <c r="C70" s="38"/>
      <c r="D70" s="37"/>
      <c r="E70" s="37"/>
      <c r="F70" s="37"/>
    </row>
    <row r="71" spans="1:6">
      <c r="A71" s="38"/>
      <c r="B71" s="38"/>
      <c r="C71" s="38"/>
      <c r="D71" s="37"/>
      <c r="E71" s="37"/>
      <c r="F71" s="37"/>
    </row>
    <row r="72" spans="1:6">
      <c r="A72" s="38"/>
      <c r="B72" s="38"/>
      <c r="C72" s="38"/>
      <c r="D72" s="37"/>
      <c r="E72" s="37"/>
      <c r="F72" s="37"/>
    </row>
    <row r="73" spans="1:6">
      <c r="A73" s="38"/>
      <c r="B73" s="38"/>
      <c r="C73" s="38"/>
      <c r="D73" s="37"/>
      <c r="E73" s="37"/>
      <c r="F73" s="37"/>
    </row>
    <row r="74" spans="1:6">
      <c r="A74" s="38"/>
      <c r="B74" s="38"/>
      <c r="C74" s="38"/>
      <c r="D74" s="37"/>
      <c r="E74" s="37"/>
      <c r="F74" s="37"/>
    </row>
    <row r="75" spans="1:6">
      <c r="A75" s="38"/>
      <c r="B75" s="38"/>
      <c r="C75" s="38"/>
      <c r="D75" s="37"/>
      <c r="E75" s="37"/>
      <c r="F75" s="37"/>
    </row>
    <row r="76" spans="1:6">
      <c r="A76" s="38"/>
      <c r="B76" s="38"/>
      <c r="C76" s="38"/>
      <c r="D76" s="37"/>
      <c r="E76" s="37"/>
      <c r="F76" s="37"/>
    </row>
    <row r="77" spans="1:6">
      <c r="A77" s="38"/>
      <c r="B77" s="38"/>
      <c r="C77" s="38"/>
      <c r="D77" s="37"/>
      <c r="E77" s="37"/>
      <c r="F77" s="37"/>
    </row>
    <row r="78" spans="1:6">
      <c r="A78" s="38"/>
      <c r="B78" s="38"/>
      <c r="C78" s="38"/>
      <c r="D78" s="37"/>
      <c r="E78" s="37"/>
      <c r="F78" s="37"/>
    </row>
    <row r="79" spans="1:6">
      <c r="A79" s="38"/>
      <c r="B79" s="38"/>
      <c r="C79" s="38"/>
      <c r="D79" s="37"/>
      <c r="E79" s="37"/>
      <c r="F79" s="37"/>
    </row>
    <row r="80" spans="1:6">
      <c r="A80" s="38"/>
      <c r="B80" s="38"/>
      <c r="C80" s="38"/>
      <c r="D80" s="37"/>
      <c r="E80" s="37"/>
      <c r="F80" s="37"/>
    </row>
    <row r="81" spans="1:6">
      <c r="A81" s="38"/>
      <c r="B81" s="38"/>
      <c r="C81" s="38"/>
      <c r="D81" s="37"/>
      <c r="E81" s="37"/>
      <c r="F81" s="37"/>
    </row>
    <row r="82" spans="1:6">
      <c r="A82" s="38"/>
      <c r="B82" s="38"/>
      <c r="C82" s="38"/>
      <c r="D82" s="37"/>
      <c r="E82" s="37"/>
      <c r="F82" s="37"/>
    </row>
    <row r="83" spans="1:6">
      <c r="A83" s="38"/>
      <c r="B83" s="38"/>
      <c r="C83" s="38"/>
      <c r="D83" s="37"/>
      <c r="E83" s="37"/>
      <c r="F83" s="37"/>
    </row>
    <row r="84" spans="1:6">
      <c r="A84" s="38"/>
      <c r="B84" s="38"/>
      <c r="C84" s="38"/>
      <c r="D84" s="37"/>
      <c r="E84" s="37"/>
      <c r="F84" s="37"/>
    </row>
    <row r="85" spans="1:6">
      <c r="A85" s="38"/>
      <c r="B85" s="38"/>
      <c r="C85" s="38"/>
      <c r="D85" s="37"/>
      <c r="E85" s="37"/>
      <c r="F85" s="37"/>
    </row>
    <row r="86" spans="1:6">
      <c r="A86" s="38"/>
      <c r="B86" s="38"/>
      <c r="C86" s="38"/>
      <c r="D86" s="37"/>
      <c r="E86" s="37"/>
      <c r="F86" s="37"/>
    </row>
    <row r="87" spans="1:6">
      <c r="A87" s="38"/>
      <c r="B87" s="38"/>
      <c r="C87" s="38"/>
      <c r="D87" s="37"/>
      <c r="E87" s="37"/>
      <c r="F87" s="37"/>
    </row>
    <row r="88" spans="1:6">
      <c r="A88" s="38"/>
      <c r="B88" s="38"/>
      <c r="C88" s="38"/>
      <c r="D88" s="37"/>
      <c r="E88" s="37"/>
      <c r="F88" s="37"/>
    </row>
    <row r="89" spans="1:6">
      <c r="A89" s="38"/>
      <c r="B89" s="38"/>
      <c r="C89" s="38"/>
      <c r="D89" s="37"/>
      <c r="E89" s="37"/>
      <c r="F89" s="37"/>
    </row>
    <row r="90" spans="1:6">
      <c r="A90" s="38"/>
      <c r="B90" s="38"/>
      <c r="C90" s="38"/>
      <c r="D90" s="37"/>
      <c r="E90" s="37"/>
      <c r="F90" s="37"/>
    </row>
    <row r="91" spans="1:6">
      <c r="A91" s="38"/>
      <c r="B91" s="38"/>
      <c r="C91" s="38"/>
      <c r="D91" s="37"/>
      <c r="E91" s="37"/>
      <c r="F91" s="37"/>
    </row>
    <row r="92" spans="1:6">
      <c r="A92" s="38"/>
      <c r="B92" s="38"/>
      <c r="C92" s="38"/>
      <c r="D92" s="37"/>
      <c r="E92" s="37"/>
      <c r="F92" s="37"/>
    </row>
    <row r="93" spans="1:6">
      <c r="A93" s="38"/>
      <c r="B93" s="38"/>
      <c r="C93" s="38"/>
      <c r="D93" s="37"/>
      <c r="E93" s="37"/>
      <c r="F93" s="37"/>
    </row>
    <row r="94" spans="1:6">
      <c r="A94" s="38"/>
      <c r="B94" s="38"/>
      <c r="C94" s="38"/>
      <c r="D94" s="37"/>
      <c r="E94" s="37"/>
      <c r="F94" s="37"/>
    </row>
    <row r="95" spans="1:6">
      <c r="A95" s="38"/>
      <c r="B95" s="38"/>
      <c r="C95" s="38"/>
      <c r="D95" s="37"/>
      <c r="E95" s="37"/>
      <c r="F95" s="37"/>
    </row>
    <row r="96" spans="1:6">
      <c r="A96" s="38"/>
      <c r="B96" s="38"/>
      <c r="C96" s="38"/>
      <c r="D96" s="37"/>
      <c r="E96" s="37"/>
      <c r="F96" s="37"/>
    </row>
    <row r="97" spans="1:6">
      <c r="A97" s="38"/>
      <c r="B97" s="38"/>
      <c r="C97" s="38"/>
      <c r="D97" s="37"/>
      <c r="E97" s="37"/>
      <c r="F97" s="37"/>
    </row>
    <row r="98" spans="1:6">
      <c r="A98" s="38"/>
      <c r="B98" s="38"/>
      <c r="C98" s="38"/>
      <c r="D98" s="37"/>
      <c r="E98" s="37"/>
      <c r="F98" s="37"/>
    </row>
    <row r="99" spans="1:6">
      <c r="A99" s="38"/>
      <c r="B99" s="38"/>
      <c r="C99" s="38"/>
      <c r="D99" s="37"/>
      <c r="E99" s="37"/>
      <c r="F99" s="37"/>
    </row>
  </sheetData>
  <mergeCells count="1">
    <mergeCell ref="A1:F1"/>
  </mergeCells>
  <dataValidations count="2">
    <dataValidation type="list" sqref="C3:C99" xr:uid="{00000000-0002-0000-0500-000000000000}">
      <formula1>"Causes,Increases Probability,Decreases Probability,Conditional"</formula1>
    </dataValidation>
    <dataValidation type="list" sqref="E3:E99" xr:uid="{00000000-0002-0000-0500-000001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>
      <selection activeCell="D30" sqref="D30"/>
    </sheetView>
  </sheetViews>
  <sheetFormatPr defaultRowHeight="15"/>
  <cols>
    <col min="1" max="1" width="24" style="2" customWidth="1"/>
    <col min="2" max="2" width="48" style="2" customWidth="1"/>
    <col min="3" max="3" width="14" style="9" customWidth="1"/>
    <col min="4" max="4" width="40.5" style="9" customWidth="1"/>
    <col min="5" max="5" width="20" style="9" customWidth="1"/>
    <col min="6" max="16384" width="9" style="2"/>
  </cols>
  <sheetData>
    <row r="1" spans="1:5" s="1" customFormat="1" ht="18" customHeight="1">
      <c r="A1" s="53" t="s">
        <v>530</v>
      </c>
      <c r="B1" s="54"/>
      <c r="C1" s="54"/>
      <c r="D1" s="54"/>
      <c r="E1" s="54"/>
    </row>
    <row r="2" spans="1:5" ht="15" customHeight="1">
      <c r="A2" s="4" t="s">
        <v>531</v>
      </c>
      <c r="B2" s="4" t="s">
        <v>532</v>
      </c>
      <c r="C2" s="4" t="s">
        <v>533</v>
      </c>
      <c r="D2" s="4" t="s">
        <v>534</v>
      </c>
      <c r="E2" s="4" t="s">
        <v>535</v>
      </c>
    </row>
    <row r="3" spans="1:5">
      <c r="A3" s="5" t="s">
        <v>536</v>
      </c>
      <c r="B3" s="5" t="s">
        <v>537</v>
      </c>
      <c r="C3" s="13" t="s">
        <v>538</v>
      </c>
      <c r="D3" s="13" t="s">
        <v>539</v>
      </c>
      <c r="E3" s="13" t="s">
        <v>540</v>
      </c>
    </row>
    <row r="4" spans="1:5" ht="16.5" customHeight="1">
      <c r="A4" s="5" t="s">
        <v>541</v>
      </c>
      <c r="B4" s="5" t="s">
        <v>542</v>
      </c>
      <c r="C4" s="13" t="s">
        <v>538</v>
      </c>
      <c r="D4" s="13" t="s">
        <v>543</v>
      </c>
      <c r="E4" s="13" t="s">
        <v>540</v>
      </c>
    </row>
    <row r="5" spans="1:5">
      <c r="A5" s="5" t="s">
        <v>541</v>
      </c>
      <c r="B5" s="5" t="s">
        <v>544</v>
      </c>
      <c r="C5" s="13" t="s">
        <v>538</v>
      </c>
      <c r="D5" s="13" t="s">
        <v>545</v>
      </c>
      <c r="E5" s="13" t="s">
        <v>540</v>
      </c>
    </row>
    <row r="6" spans="1:5">
      <c r="A6" s="5" t="s">
        <v>254</v>
      </c>
      <c r="B6" s="5" t="s">
        <v>546</v>
      </c>
      <c r="C6" s="13" t="s">
        <v>538</v>
      </c>
      <c r="D6" s="13" t="s">
        <v>547</v>
      </c>
      <c r="E6" s="13" t="s">
        <v>540</v>
      </c>
    </row>
    <row r="7" spans="1:5">
      <c r="A7" s="5" t="s">
        <v>548</v>
      </c>
      <c r="B7" s="5" t="s">
        <v>549</v>
      </c>
      <c r="C7" s="13" t="s">
        <v>538</v>
      </c>
      <c r="D7" s="13" t="s">
        <v>550</v>
      </c>
      <c r="E7" s="13" t="s">
        <v>540</v>
      </c>
    </row>
    <row r="8" spans="1:5">
      <c r="A8" s="5" t="s">
        <v>551</v>
      </c>
      <c r="B8" s="5" t="s">
        <v>552</v>
      </c>
      <c r="C8" s="13" t="s">
        <v>538</v>
      </c>
      <c r="D8" s="13" t="s">
        <v>553</v>
      </c>
      <c r="E8" s="13" t="s">
        <v>540</v>
      </c>
    </row>
    <row r="9" spans="1:5">
      <c r="A9" s="5" t="s">
        <v>554</v>
      </c>
      <c r="B9" s="5" t="s">
        <v>555</v>
      </c>
      <c r="C9" s="13" t="s">
        <v>538</v>
      </c>
      <c r="D9" s="13" t="s">
        <v>556</v>
      </c>
      <c r="E9" s="13" t="s">
        <v>540</v>
      </c>
    </row>
    <row r="10" spans="1:5">
      <c r="A10" s="5" t="s">
        <v>554</v>
      </c>
      <c r="B10" s="5" t="s">
        <v>557</v>
      </c>
      <c r="C10" s="13" t="s">
        <v>538</v>
      </c>
      <c r="D10" s="13" t="s">
        <v>558</v>
      </c>
      <c r="E10" s="13" t="s">
        <v>540</v>
      </c>
    </row>
    <row r="11" spans="1:5">
      <c r="A11" s="5" t="s">
        <v>559</v>
      </c>
      <c r="B11" s="5" t="s">
        <v>560</v>
      </c>
      <c r="C11" s="13" t="s">
        <v>538</v>
      </c>
      <c r="D11" s="13" t="s">
        <v>561</v>
      </c>
      <c r="E11" s="13" t="s">
        <v>540</v>
      </c>
    </row>
    <row r="12" spans="1:5">
      <c r="A12" s="5" t="s">
        <v>559</v>
      </c>
      <c r="B12" s="5" t="s">
        <v>562</v>
      </c>
      <c r="C12" s="13" t="s">
        <v>538</v>
      </c>
      <c r="D12" s="13" t="s">
        <v>563</v>
      </c>
      <c r="E12" s="13" t="s">
        <v>540</v>
      </c>
    </row>
    <row r="13" spans="1:5">
      <c r="A13" s="5" t="s">
        <v>559</v>
      </c>
      <c r="B13" s="5" t="s">
        <v>564</v>
      </c>
      <c r="C13" s="13" t="s">
        <v>538</v>
      </c>
      <c r="D13" s="13" t="s">
        <v>565</v>
      </c>
      <c r="E13" s="13" t="s">
        <v>540</v>
      </c>
    </row>
    <row r="14" spans="1:5">
      <c r="A14" s="5" t="s">
        <v>566</v>
      </c>
      <c r="B14" s="5" t="s">
        <v>567</v>
      </c>
      <c r="C14" s="13" t="s">
        <v>568</v>
      </c>
      <c r="D14" s="13" t="s">
        <v>569</v>
      </c>
      <c r="E14" s="13" t="s">
        <v>570</v>
      </c>
    </row>
    <row r="15" spans="1:5">
      <c r="A15" s="5" t="s">
        <v>571</v>
      </c>
      <c r="B15" s="5" t="s">
        <v>572</v>
      </c>
      <c r="C15" s="13" t="s">
        <v>568</v>
      </c>
      <c r="D15" s="13" t="s">
        <v>573</v>
      </c>
      <c r="E15" s="13" t="s">
        <v>574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workbookViewId="0">
      <selection activeCell="C20" sqref="C20"/>
    </sheetView>
  </sheetViews>
  <sheetFormatPr defaultRowHeight="15"/>
  <cols>
    <col min="1" max="1" width="18" style="2" customWidth="1"/>
    <col min="2" max="2" width="25" style="2" customWidth="1"/>
    <col min="3" max="3" width="48" style="2" customWidth="1"/>
    <col min="4" max="6" width="15" style="2" customWidth="1"/>
    <col min="7" max="16384" width="9" style="2"/>
  </cols>
  <sheetData>
    <row r="1" spans="1:6" s="1" customFormat="1" ht="18" customHeight="1">
      <c r="A1" s="53" t="s">
        <v>696</v>
      </c>
      <c r="B1" s="54"/>
      <c r="C1" s="54"/>
      <c r="D1" s="54"/>
      <c r="E1" s="54"/>
      <c r="F1" s="54"/>
    </row>
    <row r="2" spans="1:6">
      <c r="A2" s="8"/>
      <c r="B2" s="8"/>
      <c r="C2" s="8"/>
      <c r="D2" s="8"/>
      <c r="E2" s="8"/>
      <c r="F2" s="8"/>
    </row>
    <row r="3" spans="1:6" ht="15" customHeight="1">
      <c r="A3" s="4" t="s">
        <v>575</v>
      </c>
      <c r="B3" s="4" t="s">
        <v>576</v>
      </c>
      <c r="C3" s="4" t="s">
        <v>577</v>
      </c>
      <c r="D3" s="4" t="s">
        <v>578</v>
      </c>
      <c r="E3" s="4" t="s">
        <v>579</v>
      </c>
      <c r="F3" s="4" t="s">
        <v>580</v>
      </c>
    </row>
    <row r="4" spans="1:6">
      <c r="A4" s="5" t="s">
        <v>581</v>
      </c>
      <c r="B4" s="5" t="s">
        <v>582</v>
      </c>
      <c r="C4" s="5" t="s">
        <v>583</v>
      </c>
      <c r="D4" s="5"/>
      <c r="E4" s="5"/>
      <c r="F4" s="5"/>
    </row>
    <row r="5" spans="1:6">
      <c r="A5" s="5" t="s">
        <v>584</v>
      </c>
      <c r="B5" s="5" t="s">
        <v>585</v>
      </c>
      <c r="C5" s="5" t="s">
        <v>586</v>
      </c>
      <c r="D5" s="5"/>
      <c r="E5" s="5"/>
      <c r="F5" s="5"/>
    </row>
    <row r="6" spans="1:6">
      <c r="A6" s="5" t="s">
        <v>587</v>
      </c>
      <c r="B6" s="5" t="s">
        <v>588</v>
      </c>
      <c r="C6" s="5" t="s">
        <v>589</v>
      </c>
      <c r="D6" s="5"/>
      <c r="E6" s="5"/>
      <c r="F6" s="5"/>
    </row>
    <row r="7" spans="1:6">
      <c r="A7" s="5" t="s">
        <v>590</v>
      </c>
      <c r="B7" s="5" t="s">
        <v>591</v>
      </c>
      <c r="C7" s="5" t="s">
        <v>592</v>
      </c>
      <c r="D7" s="5"/>
      <c r="E7" s="5"/>
      <c r="F7" s="5"/>
    </row>
    <row r="8" spans="1:6">
      <c r="A8" s="5" t="s">
        <v>593</v>
      </c>
      <c r="B8" s="5" t="s">
        <v>594</v>
      </c>
      <c r="C8" s="5" t="s">
        <v>595</v>
      </c>
      <c r="D8" s="5"/>
      <c r="E8" s="5"/>
      <c r="F8" s="5"/>
    </row>
    <row r="9" spans="1:6">
      <c r="A9" s="5" t="s">
        <v>596</v>
      </c>
      <c r="B9" s="5" t="s">
        <v>597</v>
      </c>
      <c r="C9" s="5" t="s">
        <v>598</v>
      </c>
      <c r="D9" s="5"/>
      <c r="E9" s="5"/>
      <c r="F9" s="5"/>
    </row>
    <row r="10" spans="1:6">
      <c r="A10" s="57" t="s">
        <v>599</v>
      </c>
      <c r="B10" s="58"/>
      <c r="C10" s="58"/>
      <c r="D10" s="58"/>
      <c r="E10" s="58"/>
      <c r="F10" s="58"/>
    </row>
    <row r="11" spans="1:6">
      <c r="A11" s="57" t="s">
        <v>600</v>
      </c>
      <c r="B11" s="58"/>
      <c r="C11" s="58"/>
      <c r="D11" s="58"/>
      <c r="E11" s="58"/>
      <c r="F11" s="58"/>
    </row>
  </sheetData>
  <mergeCells count="3">
    <mergeCell ref="A11:F11"/>
    <mergeCell ref="A1:F1"/>
    <mergeCell ref="A10:F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"/>
  <sheetViews>
    <sheetView workbookViewId="0">
      <selection activeCell="F21" sqref="F21"/>
    </sheetView>
  </sheetViews>
  <sheetFormatPr defaultRowHeight="15"/>
  <cols>
    <col min="1" max="1" width="19.875" style="2" customWidth="1"/>
    <col min="2" max="2" width="30" style="2" customWidth="1"/>
    <col min="3" max="3" width="9" style="2"/>
    <col min="4" max="4" width="19.5" style="9" customWidth="1"/>
    <col min="5" max="5" width="22" style="2" customWidth="1"/>
    <col min="6" max="6" width="61.875" style="2" customWidth="1"/>
    <col min="7" max="16384" width="9" style="2"/>
  </cols>
  <sheetData>
    <row r="1" spans="1:6" s="1" customFormat="1" ht="24" customHeight="1">
      <c r="A1" s="95" t="inlineStr">
        <is>
          <t>Irrigation project — stage 2</t>
        </is>
      </c>
      <c r="B1" s="54"/>
      <c r="C1" s="54"/>
      <c r="D1" s="54"/>
      <c r="E1" s="54"/>
      <c r="F1" s="54"/>
    </row>
    <row r="2" spans="1:6" ht="15" customHeight="1">
      <c r="A2" s="93" t="inlineStr">
        <is>
          <t>Item</t>
        </is>
      </c>
      <c r="B2" s="93" t="inlineStr">
        <is>
          <t>Source / first activity</t>
        </is>
      </c>
      <c r="C2" s="93" t="inlineStr">
        <is>
          <t>Second activity</t>
        </is>
      </c>
      <c r="D2" s="93" t="inlineStr">
        <is>
          <t>Value / classification</t>
        </is>
      </c>
      <c r="E2" s="93" t="inlineStr">
        <is>
          <t>Handling</t>
        </is>
      </c>
      <c r="F2" s="93" t="inlineStr">
        <is>
          <t>Notes</t>
        </is>
      </c>
    </row>
    <row r="3" spans="1:6" ht="70" customHeight="1">
      <c r="A3" s="86" t="inlineStr">
        <is>
          <t>Source file</t>
        </is>
      </c>
      <c r="B3" s="86" t="inlineStr">
        <is>
          <t>estudo de caso Irrigação (1).docx</t>
        </is>
      </c>
      <c r="C3" s="5"/>
      <c r="D3" s="89" t="inlineStr">
        <is>
          <t>Scope</t>
        </is>
      </c>
      <c r="E3" s="86" t="inlineStr">
        <is>
          <t>Stage 2: 15 activities, 8 risks, 16 mappings</t>
        </is>
      </c>
      <c r="F3" s="86" t="inlineStr">
        <is>
          <t>No invented cost or treatment estimates</t>
        </is>
      </c>
    </row>
    <row r="4" spans="1:6" ht="70" customHeight="1">
      <c r="A4" s="86" t="inlineStr">
        <is>
          <t>Confirmed correction</t>
        </is>
      </c>
      <c r="B4" s="86" t="inlineStr">
        <is>
          <t>R8 -&gt; 2.4, Material Review</t>
        </is>
      </c>
      <c r="C4" s="5"/>
      <c r="D4" s="89" t="inlineStr">
        <is>
          <t>User decision</t>
        </is>
      </c>
      <c r="E4" s="86" t="inlineStr">
        <is>
          <t>R1/R2/R5/R6/R8 -&gt; Triangular</t>
        </is>
      </c>
      <c r="F4" s="86" t="inlineStr">
        <is>
          <t>R3 -&gt; Normal; zero-floor unchanged</t>
        </is>
      </c>
    </row>
    <row r="5" spans="1:6" ht="70" customHeight="1">
      <c r="A5" s="86" t="inlineStr">
        <is>
          <t>Simulation controls</t>
        </is>
      </c>
      <c r="B5" s="86" t="inlineStr">
        <is>
          <t>5000 iterations; seed 42</t>
        </is>
      </c>
      <c r="C5" s="5"/>
      <c r="D5" s="89" t="inlineStr">
        <is>
          <t>Origin</t>
        </is>
      </c>
      <c r="E5" s="86" t="inlineStr">
        <is>
          <t>Inherited template defaults</t>
        </is>
      </c>
      <c r="F5" s="86" t="inlineStr">
        <is>
          <t>Not a case-source claim</t>
        </is>
      </c>
    </row>
    <row r="6" spans="1:6" ht="70" customHeight="1">
      <c r="A6" s="86" t="inlineStr">
        <is>
          <t>Correlations</t>
        </is>
      </c>
      <c r="B6" s="86" t="inlineStr">
        <is>
          <t>Stored below for traceability only</t>
        </is>
      </c>
      <c r="C6" s="5"/>
      <c r="D6" s="89" t="inlineStr">
        <is>
          <t>Model scope</t>
        </is>
      </c>
      <c r="E6" s="86" t="inlineStr">
        <is>
          <t>Not applied</t>
        </is>
      </c>
      <c r="F6" s="86" t="inlineStr">
        <is>
          <t>No correlation layer added</t>
        </is>
      </c>
    </row>
    <row r="7" spans="1:6" ht="70" customHeight="1">
      <c r="A7" s="86" t="inlineStr">
        <is>
          <t>Source correlation</t>
        </is>
      </c>
      <c r="B7" s="86" t="inlineStr">
        <is>
          <t>2.3</t>
        </is>
      </c>
      <c r="C7" s="86" t="inlineStr">
        <is>
          <t>2.6</t>
        </is>
      </c>
      <c r="D7" s="13">
        <v>0.7</v>
      </c>
      <c r="E7" s="86" t="inlineStr">
        <is>
          <t>Not simulated</t>
        </is>
      </c>
      <c r="F7" s="86" t="inlineStr">
        <is>
          <t>Activity correlation is not risk-to-risk propagation.</t>
        </is>
      </c>
    </row>
    <row r="8" spans="1:6" ht="70" customHeight="1">
      <c r="A8" s="86" t="inlineStr">
        <is>
          <t>Source correlation</t>
        </is>
      </c>
      <c r="B8" s="86" t="inlineStr">
        <is>
          <t>2.2</t>
        </is>
      </c>
      <c r="C8" s="86" t="inlineStr">
        <is>
          <t>2.5</t>
        </is>
      </c>
      <c r="D8" s="13">
        <v>0.6</v>
      </c>
      <c r="E8" s="86" t="inlineStr">
        <is>
          <t>Not simulated</t>
        </is>
      </c>
      <c r="F8" s="86" t="inlineStr">
        <is>
          <t>Activity correlation is not risk-to-risk propagation.</t>
        </is>
      </c>
    </row>
    <row r="9" spans="1:6" ht="70" customHeight="1">
      <c r="A9" s="86" t="inlineStr">
        <is>
          <t>Source correlation</t>
        </is>
      </c>
      <c r="B9" s="86" t="inlineStr">
        <is>
          <t>2.7</t>
        </is>
      </c>
      <c r="C9" s="86" t="inlineStr">
        <is>
          <t>2.8</t>
        </is>
      </c>
      <c r="D9" s="13">
        <v>0.5</v>
      </c>
      <c r="E9" s="86" t="inlineStr">
        <is>
          <t>Not simulated</t>
        </is>
      </c>
      <c r="F9" s="86" t="inlineStr">
        <is>
          <t>Activity correlation is not risk-to-risk propagation.</t>
        </is>
      </c>
    </row>
    <row r="10" ht="70" customHeight="1">
      <c r="A10" s="87" t="inlineStr">
        <is>
          <t>Source correlation</t>
        </is>
      </c>
      <c r="B10" s="87" t="inlineStr">
        <is>
          <t>2.9</t>
        </is>
      </c>
      <c r="C10" s="86" t="inlineStr">
        <is>
          <t>2.13</t>
        </is>
      </c>
      <c r="D10" s="89">
        <v>0.7</v>
      </c>
      <c r="E10" s="87" t="inlineStr">
        <is>
          <t>Not simulated</t>
        </is>
      </c>
      <c r="F10" s="87" t="inlineStr">
        <is>
          <t>Activity correlation is not risk-to-risk propagation.</t>
        </is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E7" sqref="E7"/>
    </sheetView>
  </sheetViews>
  <sheetFormatPr defaultRowHeight="15"/>
  <cols>
    <col min="1" max="1" width="33.375" style="2" customWidth="1"/>
    <col min="2" max="2" width="52.75" style="2" customWidth="1"/>
    <col min="3" max="16384" width="9" style="2"/>
  </cols>
  <sheetData>
    <row r="1" spans="1:2" ht="20.25" customHeight="1">
      <c r="A1" s="60" t="s">
        <v>636</v>
      </c>
      <c r="B1" s="61"/>
    </row>
    <row r="2" spans="1:2" ht="20.25" customHeight="1">
      <c r="A2" s="39" t="s">
        <v>226</v>
      </c>
      <c r="B2" s="39" t="s">
        <v>637</v>
      </c>
    </row>
    <row r="3" spans="1:2" ht="20.25" customHeight="1">
      <c r="A3" s="40"/>
      <c r="B3" s="40"/>
    </row>
    <row r="4" spans="1:2" ht="20.25" customHeight="1">
      <c r="A4" s="40"/>
      <c r="B4" s="40"/>
    </row>
    <row r="5" spans="1:2" ht="20.25" customHeight="1">
      <c r="A5" s="40"/>
      <c r="B5" s="40"/>
    </row>
    <row r="6" spans="1:2" ht="20.25" customHeight="1">
      <c r="A6" s="40"/>
      <c r="B6" s="40"/>
    </row>
    <row r="7" spans="1:2" ht="20.25" customHeight="1">
      <c r="A7" s="40"/>
      <c r="B7" s="40"/>
    </row>
    <row r="8" spans="1:2" ht="20.25" customHeight="1">
      <c r="A8" s="40"/>
      <c r="B8" s="40"/>
    </row>
    <row r="9" spans="1:2" ht="20.25" customHeight="1">
      <c r="A9" s="40"/>
      <c r="B9" s="40"/>
    </row>
    <row r="10" spans="1:2" ht="20.25" customHeight="1">
      <c r="A10" s="40"/>
      <c r="B10" s="40"/>
    </row>
    <row r="11" spans="1:2" ht="20.25" customHeight="1">
      <c r="A11" s="40"/>
      <c r="B11" s="40"/>
    </row>
    <row r="12" spans="1:2" ht="20.25" customHeight="1">
      <c r="A12" s="40"/>
      <c r="B12" s="40"/>
    </row>
    <row r="13" spans="1:2" ht="20.25" customHeight="1">
      <c r="A13" s="40"/>
      <c r="B13" s="40"/>
    </row>
    <row r="14" spans="1:2" ht="20.25" customHeight="1">
      <c r="A14" s="40"/>
      <c r="B14" s="40"/>
    </row>
    <row r="15" spans="1:2" ht="20.25" customHeight="1">
      <c r="A15" s="40"/>
      <c r="B15" s="40"/>
    </row>
    <row r="16" spans="1:2" ht="20.25" customHeight="1">
      <c r="A16" s="40"/>
      <c r="B16" s="40"/>
    </row>
    <row r="17" spans="1:2" ht="20.25" customHeight="1">
      <c r="A17" s="40"/>
      <c r="B17" s="40"/>
    </row>
    <row r="18" spans="1:2" ht="20.25" customHeight="1">
      <c r="A18" s="40"/>
      <c r="B18" s="40"/>
    </row>
    <row r="19" spans="1:2" ht="20.25" customHeight="1">
      <c r="A19" s="40"/>
      <c r="B19" s="40"/>
    </row>
    <row r="20" spans="1:2" ht="20.25" customHeight="1">
      <c r="A20" s="40"/>
      <c r="B20" s="40"/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9"/>
  <sheetViews>
    <sheetView showGridLines="0" workbookViewId="0">
      <pane xSplit="1" ySplit="2" topLeftCell="B9" activePane="bottomRight" state="frozen"/>
      <selection pane="topRight"/>
      <selection pane="bottomLeft"/>
      <selection pane="bottomRight" activeCell="E12" sqref="E12"/>
    </sheetView>
  </sheetViews>
  <sheetFormatPr defaultRowHeight="15"/>
  <cols>
    <col min="1" max="1" width="9" style="9" customWidth="1"/>
    <col min="2" max="2" width="17.875" style="9" customWidth="1"/>
    <col min="3" max="3" width="16.25" style="9" customWidth="1"/>
    <col min="4" max="4" width="13.125" style="9" customWidth="1"/>
    <col min="5" max="5" width="164.25" style="2" customWidth="1"/>
    <col min="6" max="16384" width="9" style="2"/>
  </cols>
  <sheetData>
    <row r="1" spans="1:5" ht="27" customHeight="1">
      <c r="A1" s="60" t="s">
        <v>656</v>
      </c>
      <c r="B1" s="62"/>
      <c r="C1" s="62"/>
      <c r="D1" s="62"/>
      <c r="E1" s="61"/>
    </row>
    <row r="2" spans="1:5" ht="27" customHeight="1">
      <c r="A2" s="43" t="s">
        <v>223</v>
      </c>
      <c r="B2" s="43" t="s">
        <v>657</v>
      </c>
      <c r="C2" s="43" t="s">
        <v>658</v>
      </c>
      <c r="D2" s="43" t="s">
        <v>659</v>
      </c>
      <c r="E2" s="41" t="s">
        <v>660</v>
      </c>
    </row>
    <row r="3" spans="1:5" ht="27" customHeight="1">
      <c r="A3" s="44"/>
      <c r="B3" s="46"/>
      <c r="C3" s="44"/>
      <c r="D3" s="44"/>
      <c r="E3" s="42"/>
    </row>
    <row r="4" spans="1:5" ht="27" customHeight="1">
      <c r="A4" s="44"/>
      <c r="B4" s="46"/>
      <c r="C4" s="44"/>
      <c r="D4" s="44"/>
      <c r="E4" s="42"/>
    </row>
    <row r="5" spans="1:5" ht="27" customHeight="1">
      <c r="A5" s="44"/>
      <c r="B5" s="46"/>
      <c r="C5" s="44"/>
      <c r="D5" s="44"/>
      <c r="E5" s="42"/>
    </row>
    <row r="6" spans="1:5" ht="27" customHeight="1">
      <c r="A6" s="44"/>
      <c r="B6" s="46"/>
      <c r="C6" s="44"/>
      <c r="D6" s="44"/>
      <c r="E6" s="42"/>
    </row>
    <row r="7" spans="1:5" ht="27" customHeight="1">
      <c r="A7" s="44"/>
      <c r="B7" s="46"/>
      <c r="C7" s="44"/>
      <c r="D7" s="44"/>
      <c r="E7" s="42"/>
    </row>
    <row r="8" spans="1:5" ht="27" customHeight="1">
      <c r="A8" s="44"/>
      <c r="B8" s="46"/>
      <c r="C8" s="44"/>
      <c r="D8" s="44"/>
      <c r="E8" s="42"/>
    </row>
    <row r="9" spans="1:5" ht="27" customHeight="1">
      <c r="A9" s="44"/>
      <c r="B9" s="46"/>
      <c r="C9" s="44"/>
      <c r="D9" s="44"/>
      <c r="E9" s="42"/>
    </row>
    <row r="10" spans="1:5" ht="27" customHeight="1">
      <c r="A10" s="44"/>
      <c r="B10" s="46"/>
      <c r="C10" s="44"/>
      <c r="D10" s="44"/>
      <c r="E10" s="42"/>
    </row>
    <row r="11" spans="1:5" ht="27" customHeight="1">
      <c r="A11" s="44"/>
      <c r="B11" s="46"/>
      <c r="C11" s="44"/>
      <c r="D11" s="44"/>
      <c r="E11" s="42"/>
    </row>
    <row r="12" spans="1:5" ht="27" customHeight="1">
      <c r="A12" s="44"/>
      <c r="B12" s="46"/>
      <c r="C12" s="44"/>
      <c r="D12" s="44"/>
      <c r="E12" s="42"/>
    </row>
    <row r="13" spans="1:5" ht="27" customHeight="1">
      <c r="A13" s="44"/>
      <c r="B13" s="46"/>
      <c r="C13" s="44"/>
      <c r="D13" s="44"/>
      <c r="E13" s="42"/>
    </row>
    <row r="14" spans="1:5" ht="27" customHeight="1">
      <c r="A14" s="44"/>
      <c r="B14" s="46"/>
      <c r="C14" s="44"/>
      <c r="D14" s="44"/>
      <c r="E14" s="42"/>
    </row>
    <row r="15" spans="1:5" ht="27" customHeight="1">
      <c r="A15" s="44"/>
      <c r="B15" s="46"/>
      <c r="C15" s="44"/>
      <c r="D15" s="44"/>
      <c r="E15" s="42"/>
    </row>
    <row r="16" spans="1:5" ht="27" customHeight="1">
      <c r="A16" s="44"/>
      <c r="B16" s="46"/>
      <c r="C16" s="44"/>
      <c r="D16" s="44"/>
      <c r="E16" s="42"/>
    </row>
    <row r="17" spans="1:5" ht="27" customHeight="1">
      <c r="A17" s="44"/>
      <c r="B17" s="46"/>
      <c r="C17" s="44"/>
      <c r="D17" s="44"/>
      <c r="E17" s="42"/>
    </row>
    <row r="18" spans="1:5" ht="27" customHeight="1">
      <c r="A18" s="44"/>
      <c r="B18" s="46"/>
      <c r="C18" s="44"/>
      <c r="D18" s="44"/>
      <c r="E18" s="42"/>
    </row>
    <row r="19" spans="1:5" ht="27" customHeight="1">
      <c r="A19" s="44"/>
      <c r="B19" s="46"/>
      <c r="C19" s="44"/>
      <c r="D19" s="44"/>
      <c r="E19" s="42"/>
    </row>
    <row r="20" spans="1:5" ht="27" customHeight="1">
      <c r="A20" s="44"/>
      <c r="B20" s="46"/>
      <c r="C20" s="44"/>
      <c r="D20" s="44"/>
      <c r="E20" s="42"/>
    </row>
    <row r="21" spans="1:5" ht="27" customHeight="1">
      <c r="A21" s="44"/>
      <c r="B21" s="46"/>
      <c r="C21" s="44"/>
      <c r="D21" s="44"/>
      <c r="E21" s="42"/>
    </row>
    <row r="22" spans="1:5" ht="27" customHeight="1">
      <c r="A22" s="44"/>
      <c r="B22" s="46"/>
      <c r="C22" s="44"/>
      <c r="D22" s="44"/>
      <c r="E22" s="42"/>
    </row>
    <row r="23" spans="1:5" ht="27" customHeight="1">
      <c r="A23" s="44"/>
      <c r="B23" s="46"/>
      <c r="C23" s="44"/>
      <c r="D23" s="44"/>
      <c r="E23" s="42"/>
    </row>
    <row r="24" spans="1:5" ht="27" customHeight="1">
      <c r="A24" s="44"/>
      <c r="B24" s="46"/>
      <c r="C24" s="44"/>
      <c r="D24" s="44"/>
      <c r="E24" s="42"/>
    </row>
    <row r="25" spans="1:5" ht="27" customHeight="1">
      <c r="A25" s="44"/>
      <c r="B25" s="46"/>
      <c r="C25" s="44"/>
      <c r="D25" s="44"/>
      <c r="E25" s="42"/>
    </row>
    <row r="26" spans="1:5" ht="27" customHeight="1">
      <c r="A26" s="44"/>
      <c r="B26" s="46"/>
      <c r="C26" s="44"/>
      <c r="D26" s="44"/>
      <c r="E26" s="42"/>
    </row>
    <row r="27" spans="1:5">
      <c r="A27" s="45"/>
      <c r="B27" s="47"/>
      <c r="C27" s="45"/>
      <c r="D27" s="45"/>
      <c r="E27" s="7"/>
    </row>
    <row r="28" spans="1:5">
      <c r="A28" s="45"/>
      <c r="B28" s="47"/>
      <c r="C28" s="45"/>
      <c r="D28" s="45"/>
      <c r="E28" s="7"/>
    </row>
    <row r="29" spans="1:5">
      <c r="A29" s="45"/>
      <c r="B29" s="47"/>
      <c r="C29" s="45"/>
      <c r="D29" s="45"/>
      <c r="E29" s="7"/>
    </row>
    <row r="30" spans="1:5">
      <c r="A30" s="45"/>
      <c r="B30" s="47"/>
      <c r="C30" s="45"/>
      <c r="D30" s="45"/>
      <c r="E30" s="7"/>
    </row>
    <row r="31" spans="1:5">
      <c r="A31" s="45"/>
      <c r="B31" s="47"/>
      <c r="C31" s="45"/>
      <c r="D31" s="45"/>
      <c r="E31" s="7"/>
    </row>
    <row r="32" spans="1:5">
      <c r="A32" s="45"/>
      <c r="B32" s="47"/>
      <c r="C32" s="45"/>
      <c r="D32" s="45"/>
      <c r="E32" s="7"/>
    </row>
    <row r="33" spans="1:5">
      <c r="A33" s="45"/>
      <c r="B33" s="47"/>
      <c r="C33" s="45"/>
      <c r="D33" s="45"/>
      <c r="E33" s="7"/>
    </row>
    <row r="34" spans="1:5">
      <c r="A34" s="45"/>
      <c r="B34" s="47"/>
      <c r="C34" s="45"/>
      <c r="D34" s="45"/>
      <c r="E34" s="7"/>
    </row>
    <row r="35" spans="1:5">
      <c r="A35" s="45"/>
      <c r="B35" s="47"/>
      <c r="C35" s="45"/>
      <c r="D35" s="45"/>
      <c r="E35" s="7"/>
    </row>
    <row r="36" spans="1:5">
      <c r="A36" s="45"/>
      <c r="B36" s="47"/>
      <c r="C36" s="45"/>
      <c r="D36" s="45"/>
      <c r="E36" s="7"/>
    </row>
    <row r="37" spans="1:5">
      <c r="A37" s="45"/>
      <c r="B37" s="47"/>
      <c r="C37" s="45"/>
      <c r="D37" s="45"/>
      <c r="E37" s="7"/>
    </row>
    <row r="38" spans="1:5">
      <c r="A38" s="45"/>
      <c r="B38" s="47"/>
      <c r="C38" s="45"/>
      <c r="D38" s="45"/>
      <c r="E38" s="7"/>
    </row>
    <row r="39" spans="1:5">
      <c r="A39" s="45"/>
      <c r="B39" s="47"/>
      <c r="C39" s="45"/>
      <c r="D39" s="45"/>
      <c r="E39" s="7"/>
    </row>
    <row r="40" spans="1:5">
      <c r="A40" s="45"/>
      <c r="B40" s="47"/>
      <c r="C40" s="45"/>
      <c r="D40" s="45"/>
      <c r="E40" s="7"/>
    </row>
    <row r="41" spans="1:5">
      <c r="A41" s="45"/>
      <c r="B41" s="47"/>
      <c r="C41" s="45"/>
      <c r="D41" s="45"/>
      <c r="E41" s="7"/>
    </row>
    <row r="42" spans="1:5">
      <c r="A42" s="45"/>
      <c r="B42" s="47"/>
      <c r="C42" s="45"/>
      <c r="D42" s="45"/>
      <c r="E42" s="7"/>
    </row>
    <row r="43" spans="1:5">
      <c r="A43" s="45"/>
      <c r="B43" s="47"/>
      <c r="C43" s="45"/>
      <c r="D43" s="45"/>
      <c r="E43" s="7"/>
    </row>
    <row r="44" spans="1:5">
      <c r="A44" s="45"/>
      <c r="B44" s="47"/>
      <c r="C44" s="45"/>
      <c r="D44" s="45"/>
      <c r="E44" s="7"/>
    </row>
    <row r="45" spans="1:5">
      <c r="A45" s="45"/>
      <c r="B45" s="47"/>
      <c r="C45" s="45"/>
      <c r="D45" s="45"/>
      <c r="E45" s="7"/>
    </row>
    <row r="46" spans="1:5">
      <c r="A46" s="45"/>
      <c r="B46" s="47"/>
      <c r="C46" s="45"/>
      <c r="D46" s="45"/>
      <c r="E46" s="7"/>
    </row>
    <row r="47" spans="1:5">
      <c r="A47" s="45"/>
      <c r="B47" s="47"/>
      <c r="C47" s="45"/>
      <c r="D47" s="45"/>
      <c r="E47" s="7"/>
    </row>
    <row r="48" spans="1:5">
      <c r="A48" s="45"/>
      <c r="B48" s="47"/>
      <c r="C48" s="45"/>
      <c r="D48" s="45"/>
      <c r="E48" s="7"/>
    </row>
    <row r="49" spans="1:5">
      <c r="A49" s="45"/>
      <c r="B49" s="47"/>
      <c r="C49" s="45"/>
      <c r="D49" s="45"/>
      <c r="E49" s="7"/>
    </row>
    <row r="50" spans="1:5">
      <c r="A50" s="45"/>
      <c r="B50" s="47"/>
      <c r="C50" s="45"/>
      <c r="D50" s="45"/>
      <c r="E50" s="7"/>
    </row>
    <row r="51" spans="1:5">
      <c r="A51" s="45"/>
      <c r="B51" s="47"/>
      <c r="C51" s="45"/>
      <c r="D51" s="45"/>
      <c r="E51" s="7"/>
    </row>
    <row r="52" spans="1:5">
      <c r="A52" s="45"/>
      <c r="B52" s="47"/>
      <c r="C52" s="45"/>
      <c r="D52" s="45"/>
      <c r="E52" s="7"/>
    </row>
    <row r="53" spans="1:5">
      <c r="A53" s="45"/>
      <c r="B53" s="47"/>
      <c r="C53" s="45"/>
      <c r="D53" s="45"/>
      <c r="E53" s="7"/>
    </row>
    <row r="54" spans="1:5">
      <c r="A54" s="45"/>
      <c r="B54" s="47"/>
      <c r="C54" s="45"/>
      <c r="D54" s="45"/>
      <c r="E54" s="7"/>
    </row>
    <row r="55" spans="1:5">
      <c r="A55" s="45"/>
      <c r="B55" s="47"/>
      <c r="C55" s="45"/>
      <c r="D55" s="45"/>
      <c r="E55" s="7"/>
    </row>
    <row r="56" spans="1:5">
      <c r="A56" s="45"/>
      <c r="B56" s="47"/>
      <c r="C56" s="45"/>
      <c r="D56" s="45"/>
      <c r="E56" s="7"/>
    </row>
    <row r="57" spans="1:5">
      <c r="A57" s="45"/>
      <c r="B57" s="47"/>
      <c r="C57" s="45"/>
      <c r="D57" s="45"/>
      <c r="E57" s="7"/>
    </row>
    <row r="58" spans="1:5">
      <c r="A58" s="45"/>
      <c r="B58" s="47"/>
      <c r="C58" s="45"/>
      <c r="D58" s="45"/>
      <c r="E58" s="7"/>
    </row>
    <row r="59" spans="1:5">
      <c r="A59" s="45"/>
      <c r="B59" s="47"/>
      <c r="C59" s="45"/>
      <c r="D59" s="45"/>
      <c r="E59" s="7"/>
    </row>
    <row r="60" spans="1:5">
      <c r="A60" s="45"/>
      <c r="B60" s="47"/>
      <c r="C60" s="45"/>
      <c r="D60" s="45"/>
      <c r="E60" s="7"/>
    </row>
    <row r="61" spans="1:5">
      <c r="A61" s="45"/>
      <c r="B61" s="47"/>
      <c r="C61" s="45"/>
      <c r="D61" s="45"/>
      <c r="E61" s="7"/>
    </row>
    <row r="62" spans="1:5">
      <c r="A62" s="45"/>
      <c r="B62" s="47"/>
      <c r="C62" s="45"/>
      <c r="D62" s="45"/>
      <c r="E62" s="7"/>
    </row>
    <row r="63" spans="1:5">
      <c r="A63" s="45"/>
      <c r="B63" s="47"/>
      <c r="C63" s="45"/>
      <c r="D63" s="45"/>
      <c r="E63" s="7"/>
    </row>
    <row r="64" spans="1:5">
      <c r="A64" s="45"/>
      <c r="B64" s="47"/>
      <c r="C64" s="45"/>
      <c r="D64" s="45"/>
      <c r="E64" s="7"/>
    </row>
    <row r="65" spans="1:5">
      <c r="A65" s="45"/>
      <c r="B65" s="47"/>
      <c r="C65" s="45"/>
      <c r="D65" s="45"/>
      <c r="E65" s="7"/>
    </row>
    <row r="66" spans="1:5">
      <c r="A66" s="45"/>
      <c r="B66" s="47"/>
      <c r="C66" s="45"/>
      <c r="D66" s="45"/>
      <c r="E66" s="7"/>
    </row>
    <row r="67" spans="1:5">
      <c r="A67" s="45"/>
      <c r="B67" s="47"/>
      <c r="C67" s="45"/>
      <c r="D67" s="45"/>
      <c r="E67" s="7"/>
    </row>
    <row r="68" spans="1:5">
      <c r="A68" s="45"/>
      <c r="B68" s="47"/>
      <c r="C68" s="45"/>
      <c r="D68" s="45"/>
      <c r="E68" s="7"/>
    </row>
    <row r="69" spans="1:5">
      <c r="A69" s="45"/>
      <c r="B69" s="47"/>
      <c r="C69" s="45"/>
      <c r="D69" s="45"/>
      <c r="E69" s="7"/>
    </row>
    <row r="70" spans="1:5">
      <c r="A70" s="45"/>
      <c r="B70" s="47"/>
      <c r="C70" s="45"/>
      <c r="D70" s="45"/>
      <c r="E70" s="7"/>
    </row>
    <row r="71" spans="1:5">
      <c r="A71" s="45"/>
      <c r="B71" s="47"/>
      <c r="C71" s="45"/>
      <c r="D71" s="45"/>
      <c r="E71" s="7"/>
    </row>
    <row r="72" spans="1:5">
      <c r="A72" s="45"/>
      <c r="B72" s="47"/>
      <c r="C72" s="45"/>
      <c r="D72" s="45"/>
      <c r="E72" s="7"/>
    </row>
    <row r="73" spans="1:5">
      <c r="A73" s="45"/>
      <c r="B73" s="47"/>
      <c r="C73" s="45"/>
      <c r="D73" s="45"/>
      <c r="E73" s="7"/>
    </row>
    <row r="74" spans="1:5">
      <c r="A74" s="45"/>
      <c r="B74" s="47"/>
      <c r="C74" s="45"/>
      <c r="D74" s="45"/>
      <c r="E74" s="7"/>
    </row>
    <row r="75" spans="1:5">
      <c r="A75" s="45"/>
      <c r="B75" s="47"/>
      <c r="C75" s="45"/>
      <c r="D75" s="45"/>
      <c r="E75" s="7"/>
    </row>
    <row r="76" spans="1:5">
      <c r="A76" s="45"/>
      <c r="B76" s="47"/>
      <c r="C76" s="45"/>
      <c r="D76" s="45"/>
      <c r="E76" s="7"/>
    </row>
    <row r="77" spans="1:5">
      <c r="A77" s="45"/>
      <c r="B77" s="47"/>
      <c r="C77" s="45"/>
      <c r="D77" s="45"/>
      <c r="E77" s="7"/>
    </row>
    <row r="78" spans="1:5">
      <c r="A78" s="45"/>
      <c r="B78" s="47"/>
      <c r="C78" s="45"/>
      <c r="D78" s="45"/>
      <c r="E78" s="7"/>
    </row>
    <row r="79" spans="1:5">
      <c r="A79" s="45"/>
      <c r="B79" s="47"/>
      <c r="C79" s="45"/>
      <c r="D79" s="45"/>
      <c r="E79" s="7"/>
    </row>
    <row r="80" spans="1:5">
      <c r="A80" s="45"/>
      <c r="B80" s="47"/>
      <c r="C80" s="45"/>
      <c r="D80" s="45"/>
      <c r="E80" s="7"/>
    </row>
    <row r="81" spans="1:5">
      <c r="A81" s="45"/>
      <c r="B81" s="47"/>
      <c r="C81" s="45"/>
      <c r="D81" s="45"/>
      <c r="E81" s="7"/>
    </row>
    <row r="82" spans="1:5">
      <c r="A82" s="45"/>
      <c r="B82" s="47"/>
      <c r="C82" s="45"/>
      <c r="D82" s="45"/>
      <c r="E82" s="7"/>
    </row>
    <row r="83" spans="1:5">
      <c r="A83" s="45"/>
      <c r="B83" s="47"/>
      <c r="C83" s="45"/>
      <c r="D83" s="45"/>
      <c r="E83" s="7"/>
    </row>
    <row r="84" spans="1:5">
      <c r="A84" s="45"/>
      <c r="B84" s="47"/>
      <c r="C84" s="45"/>
      <c r="D84" s="45"/>
      <c r="E84" s="7"/>
    </row>
    <row r="85" spans="1:5">
      <c r="A85" s="45"/>
      <c r="B85" s="47"/>
      <c r="C85" s="45"/>
      <c r="D85" s="45"/>
      <c r="E85" s="7"/>
    </row>
    <row r="86" spans="1:5">
      <c r="A86" s="45"/>
      <c r="B86" s="47"/>
      <c r="C86" s="45"/>
      <c r="D86" s="45"/>
      <c r="E86" s="7"/>
    </row>
    <row r="87" spans="1:5">
      <c r="A87" s="45"/>
      <c r="B87" s="47"/>
      <c r="C87" s="45"/>
      <c r="D87" s="45"/>
      <c r="E87" s="7"/>
    </row>
    <row r="88" spans="1:5">
      <c r="A88" s="45"/>
      <c r="B88" s="47"/>
      <c r="C88" s="45"/>
      <c r="D88" s="45"/>
      <c r="E88" s="7"/>
    </row>
    <row r="89" spans="1:5">
      <c r="A89" s="45"/>
      <c r="B89" s="47"/>
      <c r="C89" s="45"/>
      <c r="D89" s="45"/>
      <c r="E89" s="7"/>
    </row>
    <row r="90" spans="1:5">
      <c r="A90" s="45"/>
      <c r="B90" s="47"/>
      <c r="C90" s="45"/>
      <c r="D90" s="45"/>
      <c r="E90" s="7"/>
    </row>
    <row r="91" spans="1:5">
      <c r="A91" s="45"/>
      <c r="B91" s="47"/>
      <c r="C91" s="45"/>
      <c r="D91" s="45"/>
      <c r="E91" s="7"/>
    </row>
    <row r="92" spans="1:5">
      <c r="A92" s="45"/>
      <c r="B92" s="47"/>
      <c r="C92" s="45"/>
      <c r="D92" s="45"/>
      <c r="E92" s="7"/>
    </row>
    <row r="93" spans="1:5">
      <c r="A93" s="45"/>
      <c r="B93" s="47"/>
      <c r="C93" s="45"/>
      <c r="D93" s="45"/>
      <c r="E93" s="7"/>
    </row>
    <row r="94" spans="1:5">
      <c r="A94" s="45"/>
      <c r="B94" s="47"/>
      <c r="C94" s="45"/>
      <c r="D94" s="45"/>
      <c r="E94" s="7"/>
    </row>
    <row r="95" spans="1:5">
      <c r="A95" s="45"/>
      <c r="B95" s="47"/>
      <c r="C95" s="45"/>
      <c r="D95" s="45"/>
      <c r="E95" s="7"/>
    </row>
    <row r="96" spans="1:5">
      <c r="A96" s="45"/>
      <c r="B96" s="47"/>
      <c r="C96" s="45"/>
      <c r="D96" s="45"/>
      <c r="E96" s="7"/>
    </row>
    <row r="97" spans="1:5">
      <c r="A97" s="45"/>
      <c r="B97" s="47"/>
      <c r="C97" s="45"/>
      <c r="D97" s="45"/>
      <c r="E97" s="7"/>
    </row>
    <row r="98" spans="1:5">
      <c r="A98" s="45"/>
      <c r="B98" s="47"/>
      <c r="C98" s="45"/>
      <c r="D98" s="45"/>
      <c r="E98" s="7"/>
    </row>
    <row r="99" spans="1:5">
      <c r="A99" s="45"/>
      <c r="B99" s="47"/>
      <c r="C99" s="45"/>
      <c r="D99" s="45"/>
      <c r="E99" s="7"/>
    </row>
  </sheetData>
  <mergeCells count="1">
    <mergeCell ref="A1:E1"/>
  </mergeCells>
  <dataValidations count="2">
    <dataValidation type="decimal" allowBlank="1" showErrorMessage="1" errorTitle="Invalid input" error="Enter a value from the documented options or range." sqref="B3:B99" xr:uid="{00000000-0002-0000-0A00-000000000000}">
      <formula1>0</formula1>
      <formula2>1</formula2>
    </dataValidation>
    <dataValidation type="decimal" allowBlank="1" showErrorMessage="1" errorTitle="Invalid input" error="Enter a value from the documented options or range." sqref="C3:D99" xr:uid="{00000000-0002-0000-0A00-000001000000}">
      <formula1>0</formula1>
      <formula2>1000000000000000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H12" sqref="H12"/>
    </sheetView>
  </sheetViews>
  <sheetFormatPr defaultRowHeight="15"/>
  <cols>
    <col min="1" max="1" width="12" style="9" customWidth="1"/>
    <col min="2" max="2" width="17.25" style="9" customWidth="1"/>
    <col min="3" max="3" width="17.625" style="9" customWidth="1"/>
    <col min="4" max="4" width="21.25" style="9" customWidth="1"/>
    <col min="5" max="5" width="10.875" style="9" customWidth="1"/>
    <col min="6" max="6" width="9.75" style="9" customWidth="1"/>
    <col min="7" max="7" width="14.375" style="9" customWidth="1"/>
    <col min="8" max="8" width="105.125" style="2" customWidth="1"/>
    <col min="9" max="9" width="16" style="2" customWidth="1"/>
    <col min="10" max="16384" width="9" style="2"/>
  </cols>
  <sheetData>
    <row r="1" spans="1:9" ht="18.75">
      <c r="A1" s="60" t="s">
        <v>685</v>
      </c>
      <c r="B1" s="62"/>
      <c r="C1" s="62"/>
      <c r="D1" s="62"/>
      <c r="E1" s="62"/>
      <c r="F1" s="62"/>
      <c r="G1" s="62"/>
      <c r="H1" s="62"/>
      <c r="I1" s="61"/>
    </row>
    <row r="2" spans="1:9" ht="24.75" customHeight="1">
      <c r="A2" s="43" t="s">
        <v>133</v>
      </c>
      <c r="B2" s="43" t="s">
        <v>686</v>
      </c>
      <c r="C2" s="43" t="s">
        <v>687</v>
      </c>
      <c r="D2" s="43" t="s">
        <v>688</v>
      </c>
      <c r="E2" s="43" t="s">
        <v>143</v>
      </c>
      <c r="F2" s="43" t="s">
        <v>144</v>
      </c>
      <c r="G2" s="43" t="s">
        <v>689</v>
      </c>
      <c r="H2" s="41" t="s">
        <v>690</v>
      </c>
      <c r="I2" s="41" t="s">
        <v>145</v>
      </c>
    </row>
    <row r="3" spans="1:9" ht="30" customHeight="1">
      <c r="A3" s="81" t="inlineStr">
        <is>
          <t>2.1</t>
        </is>
      </c>
      <c r="B3" s="51">
        <v>0</v>
      </c>
      <c r="C3" s="49">
        <f>IF(Activities!D3="Fixed",Activities!E3,IF(Activities!D3="Triangular",(Activities!F3+Activities!G3+Activities!H3)/3,IF(Activities!D3="Beta-PERT",(Activities!F3+4*Activities!G3+Activities!H3)/6,IF(Activities!D3="Normal",Activities!I3,IF(Activities!D3="Uniform",(Activities!F3+Activities!H3)/2,IF(OR(Activities!D3="Exponential",Activities!D3="Lognormal",Activities!D3="Gamma"),Activities!I3,NA()))))))</f>
        <v>2</v>
      </c>
      <c r="D3" s="50">
        <v>0</v>
      </c>
      <c r="E3" s="49">
        <f>ROUND(B3-F3*C3,2)</f>
        <v>0</v>
      </c>
      <c r="F3" s="49">
        <f>IF(Activities!M3="Fixed only",0,IF(D3=0,0,ROUND(B3*D3/C3,2)))</f>
        <v>0</v>
      </c>
      <c r="G3" s="49">
        <f>E3+F3*C3</f>
        <v>0</v>
      </c>
      <c r="H3" s="82" t="inlineStr">
        <is>
          <t>No cost data supplied: zero is a disabled-cost placeholder, not an estimate.</t>
        </is>
      </c>
      <c r="I3" s="42" t="str">
        <f>Activities!M3</f>
        <v>Fixed only</v>
      </c>
    </row>
    <row r="4" spans="1:9" ht="30" customHeight="1">
      <c r="A4" s="84" t="inlineStr">
        <is>
          <t>2.2</t>
        </is>
      </c>
      <c r="B4" s="51">
        <v>0</v>
      </c>
      <c r="C4" s="49">
        <f>IF(Activities!D4="Fixed",Activities!E4,IF(Activities!D4="Triangular",(Activities!F4+Activities!G4+Activities!H4)/3,IF(Activities!D4="Beta-PERT",(Activities!F4+4*Activities!G4+Activities!H4)/6,IF(Activities!D4="Normal",Activities!I4,IF(Activities!D4="Uniform",(Activities!F4+Activities!H4)/2,IF(OR(Activities!D4="Exponential",Activities!D4="Lognormal",Activities!D4="Gamma"),Activities!I4,NA()))))))</f>
        <v>3</v>
      </c>
      <c r="D4" s="50">
        <v>0</v>
      </c>
      <c r="E4" s="49">
        <f>ROUND(B4-F4*C4,2)</f>
        <v>0</v>
      </c>
      <c r="F4" s="49">
        <f>IF(Activities!M4="Fixed only",0,IF(D4=0,0,ROUND(B4*D4/C4,2)))</f>
        <v>0</v>
      </c>
      <c r="G4" s="49">
        <f>E4+F4*C4</f>
        <v>0</v>
      </c>
      <c r="H4" s="85" t="inlineStr">
        <is>
          <t>No cost data supplied: zero is a disabled-cost placeholder, not an estimate.</t>
        </is>
      </c>
      <c r="I4" s="48" t="str">
        <f>Activities!M4</f>
        <v>Fixed only</v>
      </c>
    </row>
    <row r="5" spans="1:9" ht="30" customHeight="1">
      <c r="A5" s="81" t="inlineStr">
        <is>
          <t>2.3</t>
        </is>
      </c>
      <c r="B5" s="51">
        <v>0</v>
      </c>
      <c r="C5" s="49">
        <f>IF(Activities!D5="Fixed",Activities!E5,IF(Activities!D5="Triangular",(Activities!F5+Activities!G5+Activities!H5)/3,IF(Activities!D5="Beta-PERT",(Activities!F5+4*Activities!G5+Activities!H5)/6,IF(Activities!D5="Normal",Activities!I5,IF(Activities!D5="Uniform",(Activities!F5+Activities!H5)/2,IF(OR(Activities!D5="Exponential",Activities!D5="Lognormal",Activities!D5="Gamma"),Activities!I5,NA()))))))</f>
        <v>1</v>
      </c>
      <c r="D5" s="50">
        <v>0</v>
      </c>
      <c r="E5" s="49">
        <f>ROUND(B5-F5*C5,2)</f>
        <v>0</v>
      </c>
      <c r="F5" s="49">
        <f>IF(Activities!M5="Fixed only",0,IF(D5=0,0,ROUND(B5*D5/C5,2)))</f>
        <v>0</v>
      </c>
      <c r="G5" s="49">
        <f>E5+F5*C5</f>
        <v>0</v>
      </c>
      <c r="H5" s="82" t="inlineStr">
        <is>
          <t>No cost data supplied: zero is a disabled-cost placeholder, not an estimate.</t>
        </is>
      </c>
      <c r="I5" s="42" t="str">
        <f>Activities!M5</f>
        <v>Fixed only</v>
      </c>
    </row>
    <row r="6" spans="1:9" ht="30" customHeight="1">
      <c r="A6" s="84" t="inlineStr">
        <is>
          <t>2.4</t>
        </is>
      </c>
      <c r="B6" s="51">
        <v>0</v>
      </c>
      <c r="C6" s="49">
        <f>IF(Activities!D6="Fixed",Activities!E6,IF(Activities!D6="Triangular",(Activities!F6+Activities!G6+Activities!H6)/3,IF(Activities!D6="Beta-PERT",(Activities!F6+4*Activities!G6+Activities!H6)/6,IF(Activities!D6="Normal",Activities!I6,IF(Activities!D6="Uniform",(Activities!F6+Activities!H6)/2,IF(OR(Activities!D6="Exponential",Activities!D6="Lognormal",Activities!D6="Gamma"),Activities!I6,NA()))))))</f>
        <v>2</v>
      </c>
      <c r="D6" s="50">
        <v>0</v>
      </c>
      <c r="E6" s="49">
        <f>ROUND(B6-F6*C6,2)</f>
        <v>0</v>
      </c>
      <c r="F6" s="49">
        <f>IF(Activities!M6="Fixed only",0,IF(D6=0,0,ROUND(B6*D6/C6,2)))</f>
        <v>0</v>
      </c>
      <c r="G6" s="49">
        <f>E6+F6*C6</f>
        <v>0</v>
      </c>
      <c r="H6" s="85" t="inlineStr">
        <is>
          <t>No cost data supplied: zero is a disabled-cost placeholder, not an estimate.</t>
        </is>
      </c>
      <c r="I6" s="48" t="str">
        <f>Activities!M6</f>
        <v>Fixed only</v>
      </c>
    </row>
    <row r="7" spans="1:9" ht="30" customHeight="1">
      <c r="A7" s="81" t="inlineStr">
        <is>
          <t>2.5</t>
        </is>
      </c>
      <c r="B7" s="51">
        <v>0</v>
      </c>
      <c r="C7" s="49">
        <f>IF(Activities!D7="Fixed",Activities!E7,IF(Activities!D7="Triangular",(Activities!F7+Activities!G7+Activities!H7)/3,IF(Activities!D7="Beta-PERT",(Activities!F7+4*Activities!G7+Activities!H7)/6,IF(Activities!D7="Normal",Activities!I7,IF(Activities!D7="Uniform",(Activities!F7+Activities!H7)/2,IF(OR(Activities!D7="Exponential",Activities!D7="Lognormal",Activities!D7="Gamma"),Activities!I7,NA()))))))</f>
        <v>4</v>
      </c>
      <c r="D7" s="50">
        <v>0</v>
      </c>
      <c r="E7" s="49">
        <f>ROUND(B7-F7*C7,2)</f>
        <v>0</v>
      </c>
      <c r="F7" s="49">
        <f>IF(Activities!M7="Fixed only",0,IF(D7=0,0,ROUND(B7*D7/C7,2)))</f>
        <v>0</v>
      </c>
      <c r="G7" s="49">
        <f>E7+F7*C7</f>
        <v>0</v>
      </c>
      <c r="H7" s="82" t="inlineStr">
        <is>
          <t>No cost data supplied: zero is a disabled-cost placeholder, not an estimate.</t>
        </is>
      </c>
      <c r="I7" s="42" t="str">
        <f>Activities!M7</f>
        <v>Fixed only</v>
      </c>
    </row>
    <row r="8" spans="1:9" ht="30" customHeight="1">
      <c r="A8" s="84" t="inlineStr">
        <is>
          <t>2.6</t>
        </is>
      </c>
      <c r="B8" s="51">
        <v>0</v>
      </c>
      <c r="C8" s="49">
        <f>IF(Activities!D8="Fixed",Activities!E8,IF(Activities!D8="Triangular",(Activities!F8+Activities!G8+Activities!H8)/3,IF(Activities!D8="Beta-PERT",(Activities!F8+4*Activities!G8+Activities!H8)/6,IF(Activities!D8="Normal",Activities!I8,IF(Activities!D8="Uniform",(Activities!F8+Activities!H8)/2,IF(OR(Activities!D8="Exponential",Activities!D8="Lognormal",Activities!D8="Gamma"),Activities!I8,NA()))))))</f>
        <v>5.166666666666667</v>
      </c>
      <c r="D8" s="50">
        <v>0</v>
      </c>
      <c r="E8" s="49">
        <f>ROUND(B8-F8*C8,2)</f>
        <v>0</v>
      </c>
      <c r="F8" s="49">
        <f>IF(Activities!M8="Fixed only",0,IF(D8=0,0,ROUND(B8*D8/C8,2)))</f>
        <v>0</v>
      </c>
      <c r="G8" s="49">
        <f>E8+F8*C8</f>
        <v>0</v>
      </c>
      <c r="H8" s="85" t="inlineStr">
        <is>
          <t>No cost data supplied: zero is a disabled-cost placeholder, not an estimate.</t>
        </is>
      </c>
      <c r="I8" s="48" t="str">
        <f>Activities!M8</f>
        <v>Fixed only</v>
      </c>
    </row>
    <row r="9" spans="1:9" ht="30" customHeight="1">
      <c r="A9" s="81" t="inlineStr">
        <is>
          <t>2.7</t>
        </is>
      </c>
      <c r="B9" s="51">
        <v>0</v>
      </c>
      <c r="C9" s="49">
        <f>IF(Activities!D9="Fixed",Activities!E9,IF(Activities!D9="Triangular",(Activities!F9+Activities!G9+Activities!H9)/3,IF(Activities!D9="Beta-PERT",(Activities!F9+4*Activities!G9+Activities!H9)/6,IF(Activities!D9="Normal",Activities!I9,IF(Activities!D9="Uniform",(Activities!F9+Activities!H9)/2,IF(OR(Activities!D9="Exponential",Activities!D9="Lognormal",Activities!D9="Gamma"),Activities!I9,NA()))))))</f>
        <v>2</v>
      </c>
      <c r="D9" s="50">
        <v>0</v>
      </c>
      <c r="E9" s="49">
        <f>ROUND(B9-F9*C9,2)</f>
        <v>0</v>
      </c>
      <c r="F9" s="49">
        <f>IF(Activities!M9="Fixed only",0,IF(D9=0,0,ROUND(B9*D9/C9,2)))</f>
        <v>0</v>
      </c>
      <c r="G9" s="49">
        <f>E9+F9*C9</f>
        <v>0</v>
      </c>
      <c r="H9" s="82" t="inlineStr">
        <is>
          <t>No cost data supplied: zero is a disabled-cost placeholder, not an estimate.</t>
        </is>
      </c>
      <c r="I9" s="42" t="str">
        <f>Activities!M9</f>
        <v>Fixed only</v>
      </c>
    </row>
    <row r="10" spans="1:9" ht="30" customHeight="1">
      <c r="A10" s="84" t="inlineStr">
        <is>
          <t>2.8</t>
        </is>
      </c>
      <c r="B10" s="51">
        <v>0</v>
      </c>
      <c r="C10" s="49">
        <f>IF(Activities!D10="Fixed",Activities!E10,IF(Activities!D10="Triangular",(Activities!F10+Activities!G10+Activities!H10)/3,IF(Activities!D10="Beta-PERT",(Activities!F10+4*Activities!G10+Activities!H10)/6,IF(Activities!D10="Normal",Activities!I10,IF(Activities!D10="Uniform",(Activities!F10+Activities!H10)/2,IF(OR(Activities!D10="Exponential",Activities!D10="Lognormal",Activities!D10="Gamma"),Activities!I10,NA()))))))</f>
        <v>1</v>
      </c>
      <c r="D10" s="50">
        <v>0</v>
      </c>
      <c r="E10" s="49">
        <f>ROUND(B10-F10*C10,2)</f>
        <v>0</v>
      </c>
      <c r="F10" s="49">
        <f>IF(Activities!M10="Fixed only",0,IF(D10=0,0,ROUND(B10*D10/C10,2)))</f>
        <v>0</v>
      </c>
      <c r="G10" s="49">
        <f>E10+F10*C10</f>
        <v>0</v>
      </c>
      <c r="H10" s="85" t="inlineStr">
        <is>
          <t>No cost data supplied: zero is a disabled-cost placeholder, not an estimate.</t>
        </is>
      </c>
      <c r="I10" s="48" t="str">
        <f>Activities!M10</f>
        <v>Fixed only</v>
      </c>
    </row>
    <row r="11" spans="1:9" ht="30" customHeight="1">
      <c r="A11" s="81" t="inlineStr">
        <is>
          <t>2.9</t>
        </is>
      </c>
      <c r="B11" s="51">
        <v>0</v>
      </c>
      <c r="C11" s="49">
        <f>IF(Activities!D11="Fixed",Activities!E11,IF(Activities!D11="Triangular",(Activities!F11+Activities!G11+Activities!H11)/3,IF(Activities!D11="Beta-PERT",(Activities!F11+4*Activities!G11+Activities!H11)/6,IF(Activities!D11="Normal",Activities!I11,IF(Activities!D11="Uniform",(Activities!F11+Activities!H11)/2,IF(OR(Activities!D11="Exponential",Activities!D11="Lognormal",Activities!D11="Gamma"),Activities!I11,NA()))))))</f>
        <v>3.3333333333333335</v>
      </c>
      <c r="D11" s="50">
        <v>0</v>
      </c>
      <c r="E11" s="49">
        <f>ROUND(B11-F11*C11,2)</f>
        <v>0</v>
      </c>
      <c r="F11" s="49">
        <f>IF(Activities!M11="Fixed only",0,IF(D11=0,0,ROUND(B11*D11/C11,2)))</f>
        <v>0</v>
      </c>
      <c r="G11" s="49">
        <f>E11+F11*C11</f>
        <v>0</v>
      </c>
      <c r="H11" s="82" t="inlineStr">
        <is>
          <t>No cost data supplied: zero is a disabled-cost placeholder, not an estimate.</t>
        </is>
      </c>
      <c r="I11" s="42" t="str">
        <f>Activities!M11</f>
        <v>Fixed only</v>
      </c>
    </row>
    <row r="12" spans="1:9" ht="30" customHeight="1">
      <c r="A12" s="84" t="inlineStr">
        <is>
          <t>2.10</t>
        </is>
      </c>
      <c r="B12" s="51">
        <v>0</v>
      </c>
      <c r="C12" s="49">
        <f>IF(Activities!D12="Fixed",Activities!E12,IF(Activities!D12="Triangular",(Activities!F12+Activities!G12+Activities!H12)/3,IF(Activities!D12="Beta-PERT",(Activities!F12+4*Activities!G12+Activities!H12)/6,IF(Activities!D12="Normal",Activities!I12,IF(Activities!D12="Uniform",(Activities!F12+Activities!H12)/2,IF(OR(Activities!D12="Exponential",Activities!D12="Lognormal",Activities!D12="Gamma"),Activities!I12,NA()))))))</f>
        <v>1</v>
      </c>
      <c r="D12" s="50">
        <v>0</v>
      </c>
      <c r="E12" s="49">
        <f>ROUND(B12-F12*C12,2)</f>
        <v>0</v>
      </c>
      <c r="F12" s="49">
        <f>IF(Activities!M12="Fixed only",0,IF(D12=0,0,ROUND(B12*D12/C12,2)))</f>
        <v>0</v>
      </c>
      <c r="G12" s="49">
        <f>E12+F12*C12</f>
        <v>0</v>
      </c>
      <c r="H12" s="85" t="inlineStr">
        <is>
          <t>No cost data supplied: zero is a disabled-cost placeholder, not an estimate.</t>
        </is>
      </c>
      <c r="I12" s="48" t="str">
        <f>Activities!M12</f>
        <v>Fixed only</v>
      </c>
    </row>
    <row r="13" spans="1:9" ht="30" customHeight="1">
      <c r="A13" s="81" t="inlineStr">
        <is>
          <t>2.11</t>
        </is>
      </c>
      <c r="B13" s="51">
        <v>0</v>
      </c>
      <c r="C13" s="49">
        <f>IF(Activities!D13="Fixed",Activities!E13,IF(Activities!D13="Triangular",(Activities!F13+Activities!G13+Activities!H13)/3,IF(Activities!D13="Beta-PERT",(Activities!F13+4*Activities!G13+Activities!H13)/6,IF(Activities!D13="Normal",Activities!I13,IF(Activities!D13="Uniform",(Activities!F13+Activities!H13)/2,IF(OR(Activities!D13="Exponential",Activities!D13="Lognormal",Activities!D13="Gamma"),Activities!I13,NA()))))))</f>
        <v>2</v>
      </c>
      <c r="D13" s="50">
        <v>0</v>
      </c>
      <c r="E13" s="49">
        <f>ROUND(B13-F13*C13,2)</f>
        <v>0</v>
      </c>
      <c r="F13" s="49">
        <f>IF(Activities!M13="Fixed only",0,IF(D13=0,0,ROUND(B13*D13/C13,2)))</f>
        <v>0</v>
      </c>
      <c r="G13" s="49">
        <f>E13+F13*C13</f>
        <v>0</v>
      </c>
      <c r="H13" s="82" t="inlineStr">
        <is>
          <t>No cost data supplied: zero is a disabled-cost placeholder, not an estimate.</t>
        </is>
      </c>
      <c r="I13" s="42" t="str">
        <f>Activities!M13</f>
        <v>Fixed only</v>
      </c>
    </row>
    <row r="14" spans="1:9" ht="30" customHeight="1">
      <c r="A14" s="84" t="inlineStr">
        <is>
          <t>2.12</t>
        </is>
      </c>
      <c r="B14" s="51">
        <v>0</v>
      </c>
      <c r="C14" s="49">
        <f>IF(Activities!D14="Fixed",Activities!E14,IF(Activities!D14="Triangular",(Activities!F14+Activities!G14+Activities!H14)/3,IF(Activities!D14="Beta-PERT",(Activities!F14+4*Activities!G14+Activities!H14)/6,IF(Activities!D14="Normal",Activities!I14,IF(Activities!D14="Uniform",(Activities!F14+Activities!H14)/2,IF(OR(Activities!D14="Exponential",Activities!D14="Lognormal",Activities!D14="Gamma"),Activities!I14,NA()))))))</f>
        <v>1</v>
      </c>
      <c r="D14" s="50">
        <v>0</v>
      </c>
      <c r="E14" s="49">
        <f>ROUND(B14-F14*C14,2)</f>
        <v>0</v>
      </c>
      <c r="F14" s="49">
        <f>IF(Activities!M14="Fixed only",0,IF(D14=0,0,ROUND(B14*D14/C14,2)))</f>
        <v>0</v>
      </c>
      <c r="G14" s="49">
        <f>E14+F14*C14</f>
        <v>0</v>
      </c>
      <c r="H14" s="85" t="inlineStr">
        <is>
          <t>No cost data supplied: zero is a disabled-cost placeholder, not an estimate.</t>
        </is>
      </c>
      <c r="I14" s="48" t="str">
        <f>Activities!M14</f>
        <v>Fixed only</v>
      </c>
    </row>
    <row r="15" spans="1:9" ht="30" customHeight="1">
      <c r="A15" s="81" t="inlineStr">
        <is>
          <t>2.13</t>
        </is>
      </c>
      <c r="B15" s="51">
        <v>0</v>
      </c>
      <c r="C15" s="49">
        <f>IF(Activities!D15="Fixed",Activities!E15,IF(Activities!D15="Triangular",(Activities!F15+Activities!G15+Activities!H15)/3,IF(Activities!D15="Beta-PERT",(Activities!F15+4*Activities!G15+Activities!H15)/6,IF(Activities!D15="Normal",Activities!I15,IF(Activities!D15="Uniform",(Activities!F15+Activities!H15)/2,IF(OR(Activities!D15="Exponential",Activities!D15="Lognormal",Activities!D15="Gamma"),Activities!I15,NA()))))))</f>
        <v>1</v>
      </c>
      <c r="D15" s="50">
        <v>0</v>
      </c>
      <c r="E15" s="49">
        <f>ROUND(B15-F15*C15,2)</f>
        <v>0</v>
      </c>
      <c r="F15" s="49">
        <f>IF(Activities!M15="Fixed only",0,IF(D15=0,0,ROUND(B15*D15/C15,2)))</f>
        <v>0</v>
      </c>
      <c r="G15" s="49">
        <f>E15+F15*C15</f>
        <v>0</v>
      </c>
      <c r="H15" s="82" t="inlineStr">
        <is>
          <t>No cost data supplied: zero is a disabled-cost placeholder, not an estimate.</t>
        </is>
      </c>
      <c r="I15" s="42" t="str">
        <f>Activities!M15</f>
        <v>Fixed only</v>
      </c>
    </row>
    <row r="16" spans="1:9" ht="30" customHeight="1">
      <c r="A16" s="84" t="inlineStr">
        <is>
          <t>2.14</t>
        </is>
      </c>
      <c r="B16" s="51">
        <v>0</v>
      </c>
      <c r="C16" s="49">
        <f>IF(Activities!D16="Fixed",Activities!E16,IF(Activities!D16="Triangular",(Activities!F16+Activities!G16+Activities!H16)/3,IF(Activities!D16="Beta-PERT",(Activities!F16+4*Activities!G16+Activities!H16)/6,IF(Activities!D16="Normal",Activities!I16,IF(Activities!D16="Uniform",(Activities!F16+Activities!H16)/2,IF(OR(Activities!D16="Exponential",Activities!D16="Lognormal",Activities!D16="Gamma"),Activities!I16,NA()))))))</f>
        <v>1</v>
      </c>
      <c r="D16" s="50">
        <v>0</v>
      </c>
      <c r="E16" s="49">
        <f>ROUND(B16-F16*C16,2)</f>
        <v>0</v>
      </c>
      <c r="F16" s="49">
        <f>IF(Activities!M16="Fixed only",0,IF(D16=0,0,ROUND(B16*D16/C16,2)))</f>
        <v>0</v>
      </c>
      <c r="G16" s="49">
        <f>E16+F16*C16</f>
        <v>0</v>
      </c>
      <c r="H16" s="85" t="inlineStr">
        <is>
          <t>No cost data supplied: zero is a disabled-cost placeholder, not an estimate.</t>
        </is>
      </c>
      <c r="I16" s="48" t="str">
        <f>Activities!M16</f>
        <v>Fixed only</v>
      </c>
    </row>
    <row r="17" spans="1:9" ht="30" customHeight="1">
      <c r="A17" s="81" t="inlineStr">
        <is>
          <t>2.15</t>
        </is>
      </c>
      <c r="B17" s="51">
        <v>0</v>
      </c>
      <c r="C17" s="49">
        <f>IF(Activities!D17="Fixed",Activities!E17,IF(Activities!D17="Triangular",(Activities!F17+Activities!G17+Activities!H17)/3,IF(Activities!D17="Beta-PERT",(Activities!F17+4*Activities!G17+Activities!H17)/6,IF(Activities!D17="Normal",Activities!I17,IF(Activities!D17="Uniform",(Activities!F17+Activities!H17)/2,IF(OR(Activities!D17="Exponential",Activities!D17="Lognormal",Activities!D17="Gamma"),Activities!I17,NA()))))))</f>
        <v>1</v>
      </c>
      <c r="D17" s="50">
        <v>0</v>
      </c>
      <c r="E17" s="49">
        <f>ROUND(B17-F17*C17,2)</f>
        <v>0</v>
      </c>
      <c r="F17" s="49">
        <f>IF(Activities!M17="Fixed only",0,IF(D17=0,0,ROUND(B17*D17/C17,2)))</f>
        <v>0</v>
      </c>
      <c r="G17" s="49">
        <f>E17+F17*C17</f>
        <v>0</v>
      </c>
      <c r="H17" s="82" t="inlineStr">
        <is>
          <t>No cost data supplied: zero is a disabled-cost placeholder, not an estimate.</t>
        </is>
      </c>
      <c r="I17" s="42" t="str">
        <f>Activities!M17</f>
        <v>Fixed only</v>
      </c>
    </row>
    <row r="18" spans="1:9" ht="17.25" customHeight="1">
      <c r="A18" s="52"/>
      <c r="B18" s="51"/>
      <c r="C18" s="49"/>
      <c r="D18" s="50"/>
      <c r="E18" s="49"/>
      <c r="F18" s="49"/>
      <c r="G18" s="49"/>
      <c r="H18" s="48"/>
      <c r="I18" s="48"/>
    </row>
    <row r="19" spans="1:9" ht="17.25" customHeight="1">
      <c r="A19" s="44"/>
      <c r="B19" s="51"/>
      <c r="C19" s="49"/>
      <c r="D19" s="50"/>
      <c r="E19" s="49"/>
      <c r="F19" s="49"/>
      <c r="G19" s="49"/>
      <c r="H19" s="42"/>
      <c r="I19" s="42"/>
    </row>
    <row r="20" spans="1:9" ht="17.25" customHeight="1">
      <c r="A20" s="52"/>
      <c r="B20" s="51"/>
      <c r="C20" s="49"/>
      <c r="D20" s="50"/>
      <c r="E20" s="49"/>
      <c r="F20" s="49"/>
      <c r="G20" s="49"/>
      <c r="H20" s="48"/>
      <c r="I20" s="48"/>
    </row>
    <row r="21" spans="1:9" ht="17.25" customHeight="1">
      <c r="A21" s="44"/>
      <c r="B21" s="51"/>
      <c r="C21" s="49"/>
      <c r="D21" s="50"/>
      <c r="E21" s="49"/>
      <c r="F21" s="49"/>
      <c r="G21" s="49"/>
      <c r="H21" s="42"/>
      <c r="I21" s="42"/>
    </row>
    <row r="22" spans="1:9" ht="17.25" customHeight="1">
      <c r="A22" s="52"/>
      <c r="B22" s="51"/>
      <c r="C22" s="49"/>
      <c r="D22" s="50"/>
      <c r="E22" s="49"/>
      <c r="F22" s="49"/>
      <c r="G22" s="49"/>
      <c r="H22" s="48"/>
      <c r="I22" s="48"/>
    </row>
    <row r="23" spans="1:9" ht="17.25" customHeight="1">
      <c r="A23" s="44"/>
      <c r="B23" s="51"/>
      <c r="C23" s="49"/>
      <c r="D23" s="50"/>
      <c r="E23" s="49"/>
      <c r="F23" s="49"/>
      <c r="G23" s="49"/>
      <c r="H23" s="42"/>
      <c r="I23" s="42"/>
    </row>
    <row r="24" spans="1:9" ht="17.25" customHeight="1">
      <c r="A24" s="52"/>
      <c r="B24" s="51"/>
      <c r="C24" s="49"/>
      <c r="D24" s="50"/>
      <c r="E24" s="49"/>
      <c r="F24" s="49"/>
      <c r="G24" s="49"/>
      <c r="H24" s="48"/>
      <c r="I24" s="48"/>
    </row>
    <row r="25" spans="1:9" ht="17.25" customHeight="1">
      <c r="A25" s="44"/>
      <c r="B25" s="51"/>
      <c r="C25" s="49"/>
      <c r="D25" s="50"/>
      <c r="E25" s="49"/>
      <c r="F25" s="49"/>
      <c r="G25" s="49"/>
      <c r="H25" s="42"/>
      <c r="I25" s="42"/>
    </row>
    <row r="26" spans="1:9" ht="17.25" customHeight="1">
      <c r="A26" s="52"/>
      <c r="B26" s="51"/>
      <c r="C26" s="49"/>
      <c r="D26" s="50"/>
      <c r="E26" s="49"/>
      <c r="F26" s="49"/>
      <c r="G26" s="49"/>
      <c r="H26" s="48"/>
      <c r="I26" s="48"/>
    </row>
    <row r="27" spans="1:9" ht="17.25" customHeight="1">
      <c r="A27" s="44"/>
      <c r="B27" s="51"/>
      <c r="C27" s="49"/>
      <c r="D27" s="50"/>
      <c r="E27" s="49"/>
      <c r="F27" s="49"/>
      <c r="G27" s="49"/>
      <c r="H27" s="42"/>
      <c r="I27" s="42"/>
    </row>
    <row r="28" spans="1:9" ht="17.25" customHeight="1">
      <c r="A28" s="52"/>
      <c r="B28" s="51"/>
      <c r="C28" s="49"/>
      <c r="D28" s="50"/>
      <c r="E28" s="49"/>
      <c r="F28" s="49"/>
      <c r="G28" s="49"/>
      <c r="H28" s="48"/>
      <c r="I28" s="48"/>
    </row>
    <row r="29" spans="1:9" ht="17.25" customHeight="1">
      <c r="A29" s="44"/>
      <c r="B29" s="51"/>
      <c r="C29" s="49"/>
      <c r="D29" s="50"/>
      <c r="E29" s="49"/>
      <c r="F29" s="49"/>
      <c r="G29" s="49"/>
      <c r="H29" s="42"/>
      <c r="I29" s="42"/>
    </row>
    <row r="30" spans="1:9" ht="17.25" customHeight="1">
      <c r="A30" s="52"/>
      <c r="B30" s="51"/>
      <c r="C30" s="49"/>
      <c r="D30" s="50"/>
      <c r="E30" s="49"/>
      <c r="F30" s="49"/>
      <c r="G30" s="49"/>
      <c r="H30" s="48"/>
      <c r="I30" s="48"/>
    </row>
    <row r="31" spans="1:9" ht="17.25" customHeight="1">
      <c r="A31" s="44"/>
      <c r="B31" s="51"/>
      <c r="C31" s="49"/>
      <c r="D31" s="50"/>
      <c r="E31" s="49"/>
      <c r="F31" s="49"/>
      <c r="G31" s="49"/>
      <c r="H31" s="42"/>
      <c r="I31" s="42"/>
    </row>
    <row r="32" spans="1:9" ht="17.25" customHeight="1">
      <c r="A32" s="52"/>
      <c r="B32" s="51"/>
      <c r="C32" s="49"/>
      <c r="D32" s="50"/>
      <c r="E32" s="49"/>
      <c r="F32" s="49"/>
      <c r="G32" s="49"/>
      <c r="H32" s="48"/>
      <c r="I32" s="48"/>
    </row>
  </sheetData>
  <mergeCells count="1">
    <mergeCell ref="A1:I1"/>
  </mergeCells>
  <conditionalFormatting sqref="D3:D32">
    <cfRule type="expression" dxfId="0" priority="1">
      <formula>$I3="Fixed only"</formula>
    </cfRule>
  </conditionalFormatting>
  <dataValidations count="2">
    <dataValidation type="decimal" showErrorMessage="1" sqref="D3:D32" xr:uid="{00000000-0002-0000-0B00-000000000000}">
      <formula1>0</formula1>
      <formula2>1</formula2>
    </dataValidation>
    <dataValidation type="decimal" operator="greaterThanOrEqual" showErrorMessage="1" sqref="B3:B32" xr:uid="{00000000-0002-0000-0B00-000001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README</vt:lpstr>
      <vt:lpstr>Project</vt:lpstr>
      <vt:lpstr>Activities</vt:lpstr>
      <vt:lpstr>Risk_Register</vt:lpstr>
      <vt:lpstr>Risk_Activity_Map</vt:lpstr>
      <vt:lpstr>Risk_Relationships</vt:lpstr>
      <vt:lpstr>Validation_Spec</vt:lpstr>
      <vt:lpstr>Risk_Portrait_Spec</vt:lpstr>
      <vt:lpstr>Case_Summary</vt:lpstr>
      <vt:lpstr>Risk_Categories</vt:lpstr>
      <vt:lpstr>Risk_Treatments</vt:lpstr>
      <vt:lpstr>Case_Assumptions</vt:lpstr>
      <vt:lpstr>RiskCategoryOptions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2026-10-16T16:49:14Z</dcterms:created>
  <dcterms:modified xsi:type="dcterms:W3CDTF">2026-10-16T17:39:40Z</dcterms:modified>
</cp:coreProperties>
</file>